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ITYA\Desktop\"/>
    </mc:Choice>
  </mc:AlternateContent>
  <xr:revisionPtr revIDLastSave="0" documentId="13_ncr:1_{254D062A-29A4-44EB-8EF8-4E00144E2EF9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Profit by Category" sheetId="2" r:id="rId1"/>
    <sheet name="Sheet4" sheetId="11" r:id="rId2"/>
    <sheet name="Monthly Sales Trend " sheetId="4" r:id="rId3"/>
    <sheet name="TOP Customer " sheetId="5" r:id="rId4"/>
    <sheet name="Sales By Region" sheetId="9" r:id="rId5"/>
    <sheet name="Sheet" sheetId="1" r:id="rId6"/>
    <sheet name="Profit By Region" sheetId="10" r:id="rId7"/>
    <sheet name="Dashboard" sheetId="7" r:id="rId8"/>
  </sheets>
  <externalReferences>
    <externalReference r:id="rId9"/>
  </externalReferenc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J2" i="1"/>
  <c r="I2" i="1"/>
</calcChain>
</file>

<file path=xl/sharedStrings.xml><?xml version="1.0" encoding="utf-8"?>
<sst xmlns="http://schemas.openxmlformats.org/spreadsheetml/2006/main" count="4423" uniqueCount="1474">
  <si>
    <t>Order_ID</t>
  </si>
  <si>
    <t>Order_Date</t>
  </si>
  <si>
    <t>Customer_ID</t>
  </si>
  <si>
    <t>Product_Category</t>
  </si>
  <si>
    <t>Sales</t>
  </si>
  <si>
    <t>Quantity</t>
  </si>
  <si>
    <t>Profit</t>
  </si>
  <si>
    <t>Discount</t>
  </si>
  <si>
    <t>O0001</t>
  </si>
  <si>
    <t>2024-01-17</t>
  </si>
  <si>
    <t>C081</t>
  </si>
  <si>
    <t>Furniture</t>
  </si>
  <si>
    <t>O0002</t>
  </si>
  <si>
    <t>2024-10-03</t>
  </si>
  <si>
    <t>C031</t>
  </si>
  <si>
    <t>Technology</t>
  </si>
  <si>
    <t>O0003</t>
  </si>
  <si>
    <t>2024-07-27</t>
  </si>
  <si>
    <t>C061</t>
  </si>
  <si>
    <t>O0004</t>
  </si>
  <si>
    <t>2024-08-27</t>
  </si>
  <si>
    <t>C085</t>
  </si>
  <si>
    <t>Office Supplies</t>
  </si>
  <si>
    <t>O0005</t>
  </si>
  <si>
    <t>2024-02-25</t>
  </si>
  <si>
    <t>C008</t>
  </si>
  <si>
    <t>O0006</t>
  </si>
  <si>
    <t>2024-05-22</t>
  </si>
  <si>
    <t>C069</t>
  </si>
  <si>
    <t>O0007</t>
  </si>
  <si>
    <t>2024-02-20</t>
  </si>
  <si>
    <t>C057</t>
  </si>
  <si>
    <t>O0008</t>
  </si>
  <si>
    <t>2024-03-26</t>
  </si>
  <si>
    <t>C012</t>
  </si>
  <si>
    <t>O0009</t>
  </si>
  <si>
    <t>2024-03-25</t>
  </si>
  <si>
    <t>C028</t>
  </si>
  <si>
    <t>O0010</t>
  </si>
  <si>
    <t>2024-05-26</t>
  </si>
  <si>
    <t>C034</t>
  </si>
  <si>
    <t>O0011</t>
  </si>
  <si>
    <t>2024-01-30</t>
  </si>
  <si>
    <t>C020</t>
  </si>
  <si>
    <t>O0012</t>
  </si>
  <si>
    <t>2024-09-01</t>
  </si>
  <si>
    <t>C096</t>
  </si>
  <si>
    <t>O0013</t>
  </si>
  <si>
    <t>2024-04-05</t>
  </si>
  <si>
    <t>O0014</t>
  </si>
  <si>
    <t>2024-10-18</t>
  </si>
  <si>
    <t>C087</t>
  </si>
  <si>
    <t>O0015</t>
  </si>
  <si>
    <t>2024-10-25</t>
  </si>
  <si>
    <t>C006</t>
  </si>
  <si>
    <t>O0016</t>
  </si>
  <si>
    <t>2024-05-02</t>
  </si>
  <si>
    <t>O0017</t>
  </si>
  <si>
    <t>2024-02-07</t>
  </si>
  <si>
    <t>C086</t>
  </si>
  <si>
    <t>O0018</t>
  </si>
  <si>
    <t>2024-04-19</t>
  </si>
  <si>
    <t>C073</t>
  </si>
  <si>
    <t>O0019</t>
  </si>
  <si>
    <t>2024-07-08</t>
  </si>
  <si>
    <t>C045</t>
  </si>
  <si>
    <t>O0020</t>
  </si>
  <si>
    <t>2024-11-30</t>
  </si>
  <si>
    <t>C070</t>
  </si>
  <si>
    <t>O0021</t>
  </si>
  <si>
    <t>2024-03-09</t>
  </si>
  <si>
    <t>C039</t>
  </si>
  <si>
    <t>O0022</t>
  </si>
  <si>
    <t>2024-11-05</t>
  </si>
  <si>
    <t>O0023</t>
  </si>
  <si>
    <t>2024-09-07</t>
  </si>
  <si>
    <t>C088</t>
  </si>
  <si>
    <t>O0024</t>
  </si>
  <si>
    <t>2024-01-02</t>
  </si>
  <si>
    <t>C082</t>
  </si>
  <si>
    <t>O0025</t>
  </si>
  <si>
    <t>2024-08-06</t>
  </si>
  <si>
    <t>C021</t>
  </si>
  <si>
    <t>O0026</t>
  </si>
  <si>
    <t>2024-03-17</t>
  </si>
  <si>
    <t>C010</t>
  </si>
  <si>
    <t>O0027</t>
  </si>
  <si>
    <t>2024-01-22</t>
  </si>
  <si>
    <t>C075</t>
  </si>
  <si>
    <t>O0028</t>
  </si>
  <si>
    <t>2024-02-22</t>
  </si>
  <si>
    <t>C046</t>
  </si>
  <si>
    <t>O0029</t>
  </si>
  <si>
    <t>2024-05-01</t>
  </si>
  <si>
    <t>C080</t>
  </si>
  <si>
    <t>O0030</t>
  </si>
  <si>
    <t>2024-07-29</t>
  </si>
  <si>
    <t>C004</t>
  </si>
  <si>
    <t>O0031</t>
  </si>
  <si>
    <t>2024-01-20</t>
  </si>
  <si>
    <t>O0032</t>
  </si>
  <si>
    <t>2024-04-26</t>
  </si>
  <si>
    <t>C059</t>
  </si>
  <si>
    <t>O0033</t>
  </si>
  <si>
    <t>C052</t>
  </si>
  <si>
    <t>O0034</t>
  </si>
  <si>
    <t>2024-01-15</t>
  </si>
  <si>
    <t>O0035</t>
  </si>
  <si>
    <t>O0036</t>
  </si>
  <si>
    <t>2024-09-18</t>
  </si>
  <si>
    <t>C094</t>
  </si>
  <si>
    <t>O0037</t>
  </si>
  <si>
    <t>2024-01-01</t>
  </si>
  <si>
    <t>C025</t>
  </si>
  <si>
    <t>O0038</t>
  </si>
  <si>
    <t>2024-06-18</t>
  </si>
  <si>
    <t>C047</t>
  </si>
  <si>
    <t>O0039</t>
  </si>
  <si>
    <t>2024-12-07</t>
  </si>
  <si>
    <t>C093</t>
  </si>
  <si>
    <t>O0040</t>
  </si>
  <si>
    <t>2024-08-03</t>
  </si>
  <si>
    <t>C090</t>
  </si>
  <si>
    <t>O0041</t>
  </si>
  <si>
    <t>C079</t>
  </si>
  <si>
    <t>O0042</t>
  </si>
  <si>
    <t>2024-06-13</t>
  </si>
  <si>
    <t>C056</t>
  </si>
  <si>
    <t>O0043</t>
  </si>
  <si>
    <t>2024-03-27</t>
  </si>
  <si>
    <t>O0044</t>
  </si>
  <si>
    <t>2024-02-17</t>
  </si>
  <si>
    <t>C066</t>
  </si>
  <si>
    <t>O0045</t>
  </si>
  <si>
    <t>2024-08-31</t>
  </si>
  <si>
    <t>C026</t>
  </si>
  <si>
    <t>O0046</t>
  </si>
  <si>
    <t>2024-12-22</t>
  </si>
  <si>
    <t>C054</t>
  </si>
  <si>
    <t>O0047</t>
  </si>
  <si>
    <t>2024-02-24</t>
  </si>
  <si>
    <t>C032</t>
  </si>
  <si>
    <t>O0048</t>
  </si>
  <si>
    <t>2024-05-07</t>
  </si>
  <si>
    <t>O0049</t>
  </si>
  <si>
    <t>2024-10-31</t>
  </si>
  <si>
    <t>C060</t>
  </si>
  <si>
    <t>O0050</t>
  </si>
  <si>
    <t>2024-10-07</t>
  </si>
  <si>
    <t>O0051</t>
  </si>
  <si>
    <t>2024-11-22</t>
  </si>
  <si>
    <t>C058</t>
  </si>
  <si>
    <t>O0052</t>
  </si>
  <si>
    <t>O0053</t>
  </si>
  <si>
    <t>2024-03-18</t>
  </si>
  <si>
    <t>C041</t>
  </si>
  <si>
    <t>O0054</t>
  </si>
  <si>
    <t>C091</t>
  </si>
  <si>
    <t>O0055</t>
  </si>
  <si>
    <t>2024-10-26</t>
  </si>
  <si>
    <t>O0056</t>
  </si>
  <si>
    <t>2024-06-01</t>
  </si>
  <si>
    <t>C049</t>
  </si>
  <si>
    <t>O0057</t>
  </si>
  <si>
    <t>2024-04-22</t>
  </si>
  <si>
    <t>O0058</t>
  </si>
  <si>
    <t>2024-12-08</t>
  </si>
  <si>
    <t>O0059</t>
  </si>
  <si>
    <t>2024-09-30</t>
  </si>
  <si>
    <t>O0060</t>
  </si>
  <si>
    <t>2024-08-07</t>
  </si>
  <si>
    <t>O0061</t>
  </si>
  <si>
    <t>2024-08-20</t>
  </si>
  <si>
    <t>C007</t>
  </si>
  <si>
    <t>O0062</t>
  </si>
  <si>
    <t>2024-05-09</t>
  </si>
  <si>
    <t>C036</t>
  </si>
  <si>
    <t>O0063</t>
  </si>
  <si>
    <t>2024-06-28</t>
  </si>
  <si>
    <t>O0064</t>
  </si>
  <si>
    <t>2024-01-11</t>
  </si>
  <si>
    <t>C097</t>
  </si>
  <si>
    <t>O0065</t>
  </si>
  <si>
    <t>2024-04-21</t>
  </si>
  <si>
    <t>C017</t>
  </si>
  <si>
    <t>O0066</t>
  </si>
  <si>
    <t>2024-02-28</t>
  </si>
  <si>
    <t>C022</t>
  </si>
  <si>
    <t>O0067</t>
  </si>
  <si>
    <t>2024-12-12</t>
  </si>
  <si>
    <t>O0068</t>
  </si>
  <si>
    <t>2024-05-04</t>
  </si>
  <si>
    <t>O0069</t>
  </si>
  <si>
    <t>C016</t>
  </si>
  <si>
    <t>O0070</t>
  </si>
  <si>
    <t>2024-06-23</t>
  </si>
  <si>
    <t>O0071</t>
  </si>
  <si>
    <t>2024-08-23</t>
  </si>
  <si>
    <t>C014</t>
  </si>
  <si>
    <t>O0072</t>
  </si>
  <si>
    <t>2024-05-18</t>
  </si>
  <si>
    <t>C023</t>
  </si>
  <si>
    <t>O0073</t>
  </si>
  <si>
    <t>2024-05-17</t>
  </si>
  <si>
    <t>O0074</t>
  </si>
  <si>
    <t>2024-08-25</t>
  </si>
  <si>
    <t>O0075</t>
  </si>
  <si>
    <t>2024-04-03</t>
  </si>
  <si>
    <t>C044</t>
  </si>
  <si>
    <t>O0076</t>
  </si>
  <si>
    <t>2024-12-25</t>
  </si>
  <si>
    <t>O0077</t>
  </si>
  <si>
    <t>C067</t>
  </si>
  <si>
    <t>O0078</t>
  </si>
  <si>
    <t>2024-08-17</t>
  </si>
  <si>
    <t>C089</t>
  </si>
  <si>
    <t>O0079</t>
  </si>
  <si>
    <t>2024-12-05</t>
  </si>
  <si>
    <t>C029</t>
  </si>
  <si>
    <t>O0080</t>
  </si>
  <si>
    <t>2024-10-08</t>
  </si>
  <si>
    <t>C071</t>
  </si>
  <si>
    <t>O0081</t>
  </si>
  <si>
    <t>2024-04-08</t>
  </si>
  <si>
    <t>C035</t>
  </si>
  <si>
    <t>O0082</t>
  </si>
  <si>
    <t>2024-09-04</t>
  </si>
  <si>
    <t>C098</t>
  </si>
  <si>
    <t>O0083</t>
  </si>
  <si>
    <t>2024-04-09</t>
  </si>
  <si>
    <t>C077</t>
  </si>
  <si>
    <t>O0084</t>
  </si>
  <si>
    <t>2024-03-05</t>
  </si>
  <si>
    <t>O0085</t>
  </si>
  <si>
    <t>O0086</t>
  </si>
  <si>
    <t>C074</t>
  </si>
  <si>
    <t>O0087</t>
  </si>
  <si>
    <t>2024-09-08</t>
  </si>
  <si>
    <t>C062</t>
  </si>
  <si>
    <t>O0088</t>
  </si>
  <si>
    <t>2024-06-04</t>
  </si>
  <si>
    <t>O0089</t>
  </si>
  <si>
    <t>2024-11-12</t>
  </si>
  <si>
    <t>C072</t>
  </si>
  <si>
    <t>O0090</t>
  </si>
  <si>
    <t>2024-10-28</t>
  </si>
  <si>
    <t>O0091</t>
  </si>
  <si>
    <t>O0092</t>
  </si>
  <si>
    <t>2024-10-09</t>
  </si>
  <si>
    <t>O0093</t>
  </si>
  <si>
    <t>2024-05-29</t>
  </si>
  <si>
    <t>C053</t>
  </si>
  <si>
    <t>O0094</t>
  </si>
  <si>
    <t>2024-02-06</t>
  </si>
  <si>
    <t>O0095</t>
  </si>
  <si>
    <t>2024-04-11</t>
  </si>
  <si>
    <t>O0096</t>
  </si>
  <si>
    <t>2024-03-13</t>
  </si>
  <si>
    <t>O0097</t>
  </si>
  <si>
    <t>2024-05-27</t>
  </si>
  <si>
    <t>C040</t>
  </si>
  <si>
    <t>O0098</t>
  </si>
  <si>
    <t>2024-05-19</t>
  </si>
  <si>
    <t>O0099</t>
  </si>
  <si>
    <t>2024-08-09</t>
  </si>
  <si>
    <t>O0100</t>
  </si>
  <si>
    <t>2024-12-11</t>
  </si>
  <si>
    <t>C033</t>
  </si>
  <si>
    <t>O0101</t>
  </si>
  <si>
    <t>2024-01-21</t>
  </si>
  <si>
    <t>O0102</t>
  </si>
  <si>
    <t>C084</t>
  </si>
  <si>
    <t>O0103</t>
  </si>
  <si>
    <t>2024-12-09</t>
  </si>
  <si>
    <t>O0104</t>
  </si>
  <si>
    <t>2024-07-24</t>
  </si>
  <si>
    <t>O0105</t>
  </si>
  <si>
    <t>2024-07-25</t>
  </si>
  <si>
    <t>O0106</t>
  </si>
  <si>
    <t>2024-07-04</t>
  </si>
  <si>
    <t>O0107</t>
  </si>
  <si>
    <t>2024-03-08</t>
  </si>
  <si>
    <t>O0108</t>
  </si>
  <si>
    <t>O0109</t>
  </si>
  <si>
    <t>2024-04-25</t>
  </si>
  <si>
    <t>O0110</t>
  </si>
  <si>
    <t>C083</t>
  </si>
  <si>
    <t>O0111</t>
  </si>
  <si>
    <t>O0112</t>
  </si>
  <si>
    <t>2024-02-05</t>
  </si>
  <si>
    <t>O0113</t>
  </si>
  <si>
    <t>C065</t>
  </si>
  <si>
    <t>O0114</t>
  </si>
  <si>
    <t>2024-06-19</t>
  </si>
  <si>
    <t>O0115</t>
  </si>
  <si>
    <t>2024-12-23</t>
  </si>
  <si>
    <t>O0116</t>
  </si>
  <si>
    <t>2024-06-11</t>
  </si>
  <si>
    <t>C030</t>
  </si>
  <si>
    <t>O0117</t>
  </si>
  <si>
    <t>2024-11-29</t>
  </si>
  <si>
    <t>C050</t>
  </si>
  <si>
    <t>O0118</t>
  </si>
  <si>
    <t>2024-02-21</t>
  </si>
  <si>
    <t>O0119</t>
  </si>
  <si>
    <t>2024-12-01</t>
  </si>
  <si>
    <t>O0120</t>
  </si>
  <si>
    <t>2024-11-28</t>
  </si>
  <si>
    <t>O0121</t>
  </si>
  <si>
    <t>2024-09-06</t>
  </si>
  <si>
    <t>O0122</t>
  </si>
  <si>
    <t>C009</t>
  </si>
  <si>
    <t>O0123</t>
  </si>
  <si>
    <t>C013</t>
  </si>
  <si>
    <t>O0124</t>
  </si>
  <si>
    <t>2024-05-30</t>
  </si>
  <si>
    <t>O0125</t>
  </si>
  <si>
    <t>2024-12-15</t>
  </si>
  <si>
    <t>C019</t>
  </si>
  <si>
    <t>O0126</t>
  </si>
  <si>
    <t>C011</t>
  </si>
  <si>
    <t>O0127</t>
  </si>
  <si>
    <t>O0128</t>
  </si>
  <si>
    <t>2024-08-14</t>
  </si>
  <si>
    <t>C037</t>
  </si>
  <si>
    <t>O0129</t>
  </si>
  <si>
    <t>2024-08-21</t>
  </si>
  <si>
    <t>O0130</t>
  </si>
  <si>
    <t>2024-07-02</t>
  </si>
  <si>
    <t>O0131</t>
  </si>
  <si>
    <t>2024-05-20</t>
  </si>
  <si>
    <t>C003</t>
  </si>
  <si>
    <t>O0132</t>
  </si>
  <si>
    <t>C078</t>
  </si>
  <si>
    <t>O0133</t>
  </si>
  <si>
    <t>2024-12-13</t>
  </si>
  <si>
    <t>O0134</t>
  </si>
  <si>
    <t>2024-08-13</t>
  </si>
  <si>
    <t>O0135</t>
  </si>
  <si>
    <t>2024-06-16</t>
  </si>
  <si>
    <t>O0136</t>
  </si>
  <si>
    <t>2024-07-06</t>
  </si>
  <si>
    <t>O0137</t>
  </si>
  <si>
    <t>2024-09-03</t>
  </si>
  <si>
    <t>O0138</t>
  </si>
  <si>
    <t>O0139</t>
  </si>
  <si>
    <t>2024-05-15</t>
  </si>
  <si>
    <t>O0140</t>
  </si>
  <si>
    <t>C048</t>
  </si>
  <si>
    <t>O0141</t>
  </si>
  <si>
    <t>2024-10-14</t>
  </si>
  <si>
    <t>O0142</t>
  </si>
  <si>
    <t>2024-12-24</t>
  </si>
  <si>
    <t>O0143</t>
  </si>
  <si>
    <t>2024-09-09</t>
  </si>
  <si>
    <t>C018</t>
  </si>
  <si>
    <t>O0144</t>
  </si>
  <si>
    <t>O0145</t>
  </si>
  <si>
    <t>2024-07-31</t>
  </si>
  <si>
    <t>C076</t>
  </si>
  <si>
    <t>O0146</t>
  </si>
  <si>
    <t>O0147</t>
  </si>
  <si>
    <t>O0148</t>
  </si>
  <si>
    <t>2024-04-07</t>
  </si>
  <si>
    <t>O0149</t>
  </si>
  <si>
    <t>O0150</t>
  </si>
  <si>
    <t>2024-10-10</t>
  </si>
  <si>
    <t>O0151</t>
  </si>
  <si>
    <t>2024-11-01</t>
  </si>
  <si>
    <t>O0152</t>
  </si>
  <si>
    <t>2024-02-26</t>
  </si>
  <si>
    <t>O0153</t>
  </si>
  <si>
    <t>C002</t>
  </si>
  <si>
    <t>O0154</t>
  </si>
  <si>
    <t>2024-09-26</t>
  </si>
  <si>
    <t>O0155</t>
  </si>
  <si>
    <t>O0156</t>
  </si>
  <si>
    <t>2024-12-03</t>
  </si>
  <si>
    <t>O0157</t>
  </si>
  <si>
    <t>2024-09-02</t>
  </si>
  <si>
    <t>O0158</t>
  </si>
  <si>
    <t>2024-02-11</t>
  </si>
  <si>
    <t>C063</t>
  </si>
  <si>
    <t>O0159</t>
  </si>
  <si>
    <t>O0160</t>
  </si>
  <si>
    <t>O0161</t>
  </si>
  <si>
    <t>2024-04-20</t>
  </si>
  <si>
    <t>O0162</t>
  </si>
  <si>
    <t>O0163</t>
  </si>
  <si>
    <t>2024-03-19</t>
  </si>
  <si>
    <t>C055</t>
  </si>
  <si>
    <t>O0164</t>
  </si>
  <si>
    <t>2024-02-19</t>
  </si>
  <si>
    <t>O0165</t>
  </si>
  <si>
    <t>O0166</t>
  </si>
  <si>
    <t>2024-08-04</t>
  </si>
  <si>
    <t>O0167</t>
  </si>
  <si>
    <t>2024-09-16</t>
  </si>
  <si>
    <t>O0168</t>
  </si>
  <si>
    <t>2024-10-11</t>
  </si>
  <si>
    <t>O0169</t>
  </si>
  <si>
    <t>O0170</t>
  </si>
  <si>
    <t>2024-12-21</t>
  </si>
  <si>
    <t>O0171</t>
  </si>
  <si>
    <t>2024-06-22</t>
  </si>
  <si>
    <t>O0172</t>
  </si>
  <si>
    <t>O0173</t>
  </si>
  <si>
    <t>O0174</t>
  </si>
  <si>
    <t>2024-10-17</t>
  </si>
  <si>
    <t>O0175</t>
  </si>
  <si>
    <t>O0176</t>
  </si>
  <si>
    <t>O0177</t>
  </si>
  <si>
    <t>C015</t>
  </si>
  <si>
    <t>O0178</t>
  </si>
  <si>
    <t>2024-07-21</t>
  </si>
  <si>
    <t>C068</t>
  </si>
  <si>
    <t>O0179</t>
  </si>
  <si>
    <t>2024-03-11</t>
  </si>
  <si>
    <t>C027</t>
  </si>
  <si>
    <t>O0180</t>
  </si>
  <si>
    <t>2024-03-30</t>
  </si>
  <si>
    <t>O0181</t>
  </si>
  <si>
    <t>O0182</t>
  </si>
  <si>
    <t>2024-02-09</t>
  </si>
  <si>
    <t>C095</t>
  </si>
  <si>
    <t>O0183</t>
  </si>
  <si>
    <t>2024-05-28</t>
  </si>
  <si>
    <t>O0184</t>
  </si>
  <si>
    <t>C042</t>
  </si>
  <si>
    <t>O0185</t>
  </si>
  <si>
    <t>O0186</t>
  </si>
  <si>
    <t>2024-04-23</t>
  </si>
  <si>
    <t>C051</t>
  </si>
  <si>
    <t>O0187</t>
  </si>
  <si>
    <t>O0188</t>
  </si>
  <si>
    <t>2024-03-29</t>
  </si>
  <si>
    <t>O0189</t>
  </si>
  <si>
    <t>O0190</t>
  </si>
  <si>
    <t>2024-11-21</t>
  </si>
  <si>
    <t>O0191</t>
  </si>
  <si>
    <t>2024-11-19</t>
  </si>
  <si>
    <t>O0192</t>
  </si>
  <si>
    <t>2024-08-24</t>
  </si>
  <si>
    <t>O0193</t>
  </si>
  <si>
    <t>2024-02-16</t>
  </si>
  <si>
    <t>O0194</t>
  </si>
  <si>
    <t>O0195</t>
  </si>
  <si>
    <t>2024-02-01</t>
  </si>
  <si>
    <t>O0196</t>
  </si>
  <si>
    <t>C092</t>
  </si>
  <si>
    <t>O0197</t>
  </si>
  <si>
    <t>2024-07-09</t>
  </si>
  <si>
    <t>O0198</t>
  </si>
  <si>
    <t>C100</t>
  </si>
  <si>
    <t>O0199</t>
  </si>
  <si>
    <t>2024-05-25</t>
  </si>
  <si>
    <t>C043</t>
  </si>
  <si>
    <t>O0200</t>
  </si>
  <si>
    <t>O0201</t>
  </si>
  <si>
    <t>2024-10-13</t>
  </si>
  <si>
    <t>O0202</t>
  </si>
  <si>
    <t>2024-12-16</t>
  </si>
  <si>
    <t>O0203</t>
  </si>
  <si>
    <t>2024-04-02</t>
  </si>
  <si>
    <t>O0204</t>
  </si>
  <si>
    <t>O0205</t>
  </si>
  <si>
    <t>C099</t>
  </si>
  <si>
    <t>O0206</t>
  </si>
  <si>
    <t>O0207</t>
  </si>
  <si>
    <t>O0208</t>
  </si>
  <si>
    <t>O0209</t>
  </si>
  <si>
    <t>O0210</t>
  </si>
  <si>
    <t>2024-09-14</t>
  </si>
  <si>
    <t>O0211</t>
  </si>
  <si>
    <t>2024-05-08</t>
  </si>
  <si>
    <t>O0212</t>
  </si>
  <si>
    <t>2024-09-21</t>
  </si>
  <si>
    <t>O0213</t>
  </si>
  <si>
    <t>2024-09-19</t>
  </si>
  <si>
    <t>O0214</t>
  </si>
  <si>
    <t>2024-01-14</t>
  </si>
  <si>
    <t>O0215</t>
  </si>
  <si>
    <t>O0216</t>
  </si>
  <si>
    <t>O0217</t>
  </si>
  <si>
    <t>C005</t>
  </si>
  <si>
    <t>O0218</t>
  </si>
  <si>
    <t>2024-05-11</t>
  </si>
  <si>
    <t>O0219</t>
  </si>
  <si>
    <t>O0220</t>
  </si>
  <si>
    <t>2024-11-14</t>
  </si>
  <si>
    <t>O0221</t>
  </si>
  <si>
    <t>2024-09-20</t>
  </si>
  <si>
    <t>C064</t>
  </si>
  <si>
    <t>O0222</t>
  </si>
  <si>
    <t>2024-05-03</t>
  </si>
  <si>
    <t>C038</t>
  </si>
  <si>
    <t>O0223</t>
  </si>
  <si>
    <t>2024-07-03</t>
  </si>
  <si>
    <t>O0224</t>
  </si>
  <si>
    <t>O0225</t>
  </si>
  <si>
    <t>2024-01-09</t>
  </si>
  <si>
    <t>O0226</t>
  </si>
  <si>
    <t>2024-10-24</t>
  </si>
  <si>
    <t>O0227</t>
  </si>
  <si>
    <t>2024-11-25</t>
  </si>
  <si>
    <t>O0228</t>
  </si>
  <si>
    <t>2024-08-22</t>
  </si>
  <si>
    <t>O0229</t>
  </si>
  <si>
    <t>2024-06-10</t>
  </si>
  <si>
    <t>O0230</t>
  </si>
  <si>
    <t>2024-11-27</t>
  </si>
  <si>
    <t>O0231</t>
  </si>
  <si>
    <t>O0232</t>
  </si>
  <si>
    <t>2024-07-16</t>
  </si>
  <si>
    <t>O0233</t>
  </si>
  <si>
    <t>2024-09-22</t>
  </si>
  <si>
    <t>O0234</t>
  </si>
  <si>
    <t>O0235</t>
  </si>
  <si>
    <t>2024-06-05</t>
  </si>
  <si>
    <t>O0236</t>
  </si>
  <si>
    <t>O0237</t>
  </si>
  <si>
    <t>O0238</t>
  </si>
  <si>
    <t>2024-01-16</t>
  </si>
  <si>
    <t>O0239</t>
  </si>
  <si>
    <t>2024-11-26</t>
  </si>
  <si>
    <t>O0240</t>
  </si>
  <si>
    <t>2024-08-18</t>
  </si>
  <si>
    <t>O0241</t>
  </si>
  <si>
    <t>O0242</t>
  </si>
  <si>
    <t>O0243</t>
  </si>
  <si>
    <t>2024-12-26</t>
  </si>
  <si>
    <t>O0244</t>
  </si>
  <si>
    <t>2024-04-12</t>
  </si>
  <si>
    <t>O0245</t>
  </si>
  <si>
    <t>2024-02-14</t>
  </si>
  <si>
    <t>O0246</t>
  </si>
  <si>
    <t>2024-06-02</t>
  </si>
  <si>
    <t>O0247</t>
  </si>
  <si>
    <t>2024-03-12</t>
  </si>
  <si>
    <t>O0248</t>
  </si>
  <si>
    <t>O0249</t>
  </si>
  <si>
    <t>O0250</t>
  </si>
  <si>
    <t>2024-11-24</t>
  </si>
  <si>
    <t>O0251</t>
  </si>
  <si>
    <t>O0252</t>
  </si>
  <si>
    <t>2024-01-29</t>
  </si>
  <si>
    <t>O0253</t>
  </si>
  <si>
    <t>2024-12-29</t>
  </si>
  <si>
    <t>O0254</t>
  </si>
  <si>
    <t>O0255</t>
  </si>
  <si>
    <t>O0256</t>
  </si>
  <si>
    <t>O0257</t>
  </si>
  <si>
    <t>2024-10-22</t>
  </si>
  <si>
    <t>O0258</t>
  </si>
  <si>
    <t>2024-11-17</t>
  </si>
  <si>
    <t>O0259</t>
  </si>
  <si>
    <t>2024-07-26</t>
  </si>
  <si>
    <t>O0260</t>
  </si>
  <si>
    <t>O0261</t>
  </si>
  <si>
    <t>2024-06-12</t>
  </si>
  <si>
    <t>O0262</t>
  </si>
  <si>
    <t>O0263</t>
  </si>
  <si>
    <t>O0264</t>
  </si>
  <si>
    <t>2024-03-22</t>
  </si>
  <si>
    <t>O0265</t>
  </si>
  <si>
    <t>O0266</t>
  </si>
  <si>
    <t>2024-09-15</t>
  </si>
  <si>
    <t>O0267</t>
  </si>
  <si>
    <t>2024-09-10</t>
  </si>
  <si>
    <t>O0268</t>
  </si>
  <si>
    <t>O0269</t>
  </si>
  <si>
    <t>O0270</t>
  </si>
  <si>
    <t>O0271</t>
  </si>
  <si>
    <t>2024-07-10</t>
  </si>
  <si>
    <t>O0272</t>
  </si>
  <si>
    <t>O0273</t>
  </si>
  <si>
    <t>2024-08-30</t>
  </si>
  <si>
    <t>O0274</t>
  </si>
  <si>
    <t>2024-11-09</t>
  </si>
  <si>
    <t>O0275</t>
  </si>
  <si>
    <t>2024-06-21</t>
  </si>
  <si>
    <t>O0276</t>
  </si>
  <si>
    <t>O0277</t>
  </si>
  <si>
    <t>2024-12-18</t>
  </si>
  <si>
    <t>O0278</t>
  </si>
  <si>
    <t>2024-10-23</t>
  </si>
  <si>
    <t>O0279</t>
  </si>
  <si>
    <t>2024-11-13</t>
  </si>
  <si>
    <t>O0280</t>
  </si>
  <si>
    <t>O0281</t>
  </si>
  <si>
    <t>O0282</t>
  </si>
  <si>
    <t>O0283</t>
  </si>
  <si>
    <t>O0284</t>
  </si>
  <si>
    <t>2024-12-14</t>
  </si>
  <si>
    <t>O0285</t>
  </si>
  <si>
    <t>2024-10-12</t>
  </si>
  <si>
    <t>O0286</t>
  </si>
  <si>
    <t>O0287</t>
  </si>
  <si>
    <t>O0288</t>
  </si>
  <si>
    <t>O0289</t>
  </si>
  <si>
    <t>2024-06-26</t>
  </si>
  <si>
    <t>O0290</t>
  </si>
  <si>
    <t>O0291</t>
  </si>
  <si>
    <t>O0292</t>
  </si>
  <si>
    <t>O0293</t>
  </si>
  <si>
    <t>O0294</t>
  </si>
  <si>
    <t>O0295</t>
  </si>
  <si>
    <t>O0296</t>
  </si>
  <si>
    <t>2024-01-19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</si>
  <si>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</si>
  <si>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</si>
  <si>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</si>
  <si>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</si>
  <si>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</si>
  <si>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</si>
  <si>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</si>
  <si>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</si>
  <si>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2024-05-16</t>
  </si>
  <si>
    <t>O0305</t>
  </si>
  <si>
    <t>O0306</t>
  </si>
  <si>
    <t>O0307</t>
  </si>
  <si>
    <t>2024-05-31</t>
  </si>
  <si>
    <t>O0308</t>
  </si>
  <si>
    <t>O0309</t>
  </si>
  <si>
    <t>2024-10-02</t>
  </si>
  <si>
    <t>O0310</t>
  </si>
  <si>
    <t>O0311</t>
  </si>
  <si>
    <t>2024-02-27</t>
  </si>
  <si>
    <t>O0312</t>
  </si>
  <si>
    <t>O0313</t>
  </si>
  <si>
    <t>O0314</t>
  </si>
  <si>
    <t>2024-10-15</t>
  </si>
  <si>
    <t>O0315</t>
  </si>
  <si>
    <t>O0316</t>
  </si>
  <si>
    <t>O0317</t>
  </si>
  <si>
    <t>O0318</t>
  </si>
  <si>
    <t>O0319</t>
  </si>
  <si>
    <t>2024-12-04</t>
  </si>
  <si>
    <t>O0320</t>
  </si>
  <si>
    <t>2024-09-27</t>
  </si>
  <si>
    <t>O0321</t>
  </si>
  <si>
    <t>2024-12-10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</si>
  <si>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</si>
  <si>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</si>
  <si>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</si>
  <si>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</si>
  <si>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</si>
  <si>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</si>
  <si>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</si>
  <si>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</si>
  <si>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2024-10-29</t>
  </si>
  <si>
    <t>O0330</t>
  </si>
  <si>
    <t>O0331</t>
  </si>
  <si>
    <t>O0332</t>
  </si>
  <si>
    <t>2024-12-28</t>
  </si>
  <si>
    <t>O0333</t>
  </si>
  <si>
    <t>2024-09-28</t>
  </si>
  <si>
    <t>O0334</t>
  </si>
  <si>
    <t>O0335</t>
  </si>
  <si>
    <t>2024-07-12</t>
  </si>
  <si>
    <t>O0336</t>
  </si>
  <si>
    <t>2024-10-27</t>
  </si>
  <si>
    <t>O0337</t>
  </si>
  <si>
    <t>O0338</t>
  </si>
  <si>
    <t>O0339</t>
  </si>
  <si>
    <t>2024-05-24</t>
  </si>
  <si>
    <t>O0340</t>
  </si>
  <si>
    <t>O0341</t>
  </si>
  <si>
    <t>2024-04-14</t>
  </si>
  <si>
    <t>O0342</t>
  </si>
  <si>
    <t>2024-03-15</t>
  </si>
  <si>
    <t>O0343</t>
  </si>
  <si>
    <t>O0344</t>
  </si>
  <si>
    <t>O0345</t>
  </si>
  <si>
    <t>O0346</t>
  </si>
  <si>
    <t>O0347</t>
  </si>
  <si>
    <t>C024</t>
  </si>
  <si>
    <t>O0348</t>
  </si>
  <si>
    <t>2024-01-04</t>
  </si>
  <si>
    <t>O0349</t>
  </si>
  <si>
    <t>O0350</t>
  </si>
  <si>
    <t>O0351</t>
  </si>
  <si>
    <t>C001</t>
  </si>
  <si>
    <t>O0352</t>
  </si>
  <si>
    <t>O0353</t>
  </si>
  <si>
    <t>O0354</t>
  </si>
  <si>
    <t>O0355</t>
  </si>
  <si>
    <t>O0356</t>
  </si>
  <si>
    <t>O0357</t>
  </si>
  <si>
    <t>O0358</t>
  </si>
  <si>
    <t>2024-12-20</t>
  </si>
  <si>
    <t>O0359</t>
  </si>
  <si>
    <t>2024-05-23</t>
  </si>
  <si>
    <t>O0360</t>
  </si>
  <si>
    <t>2024-04-16</t>
  </si>
  <si>
    <t>O0361</t>
  </si>
  <si>
    <t>O0362</t>
  </si>
  <si>
    <t>O0363</t>
  </si>
  <si>
    <t>2024-08-11</t>
  </si>
  <si>
    <t>O0364</t>
  </si>
  <si>
    <t>2024-07-22</t>
  </si>
  <si>
    <t>O0365</t>
  </si>
  <si>
    <t>2024-07-11</t>
  </si>
  <si>
    <t>O0366</t>
  </si>
  <si>
    <t>O0367</t>
  </si>
  <si>
    <t>2024-11-20</t>
  </si>
  <si>
    <t>O0368</t>
  </si>
  <si>
    <t>2024-06-06</t>
  </si>
  <si>
    <t>O0369</t>
  </si>
  <si>
    <t>O0370</t>
  </si>
  <si>
    <t>O0371</t>
  </si>
  <si>
    <t>2024-07-30</t>
  </si>
  <si>
    <t>O0372</t>
  </si>
  <si>
    <t>2024-07-13</t>
  </si>
  <si>
    <t>O0373</t>
  </si>
  <si>
    <t>O0374</t>
  </si>
  <si>
    <t>O0375</t>
  </si>
  <si>
    <t>O0376</t>
  </si>
  <si>
    <t>O0377</t>
  </si>
  <si>
    <t>O0378</t>
  </si>
  <si>
    <t>O0379</t>
  </si>
  <si>
    <t>2024-07-20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</si>
  <si>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</si>
  <si>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</si>
  <si>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</si>
  <si>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</si>
  <si>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</si>
  <si>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</si>
  <si>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</si>
  <si>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</si>
  <si>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</si>
  <si>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</si>
  <si>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2024-01-13</t>
  </si>
  <si>
    <t>O0390</t>
  </si>
  <si>
    <t>O0391</t>
  </si>
  <si>
    <t>2024-06-27</t>
  </si>
  <si>
    <t>O0392</t>
  </si>
  <si>
    <t>O0393</t>
  </si>
  <si>
    <t>O0394</t>
  </si>
  <si>
    <t>O0395</t>
  </si>
  <si>
    <t>O0396</t>
  </si>
  <si>
    <t>2024-01-03</t>
  </si>
  <si>
    <t>O0397</t>
  </si>
  <si>
    <t>2024-02-02</t>
  </si>
  <si>
    <t>O0398</t>
  </si>
  <si>
    <t>O0399</t>
  </si>
  <si>
    <t>2024-07-19</t>
  </si>
  <si>
    <t>O0400</t>
  </si>
  <si>
    <t>O0401</t>
  </si>
  <si>
    <t>2024-03-01</t>
  </si>
  <si>
    <t>O0402</t>
  </si>
  <si>
    <t>2024-07-17</t>
  </si>
  <si>
    <t>O0403</t>
  </si>
  <si>
    <t>O0404</t>
  </si>
  <si>
    <t>O0405</t>
  </si>
  <si>
    <t>O0406</t>
  </si>
  <si>
    <t>O0407</t>
  </si>
  <si>
    <t>O0408</t>
  </si>
  <si>
    <t>O0409</t>
  </si>
  <si>
    <t>2024-10-05</t>
  </si>
  <si>
    <t>O0410</t>
  </si>
  <si>
    <t>2024-08-05</t>
  </si>
  <si>
    <t>O0411</t>
  </si>
  <si>
    <t>O0412</t>
  </si>
  <si>
    <t>O0413</t>
  </si>
  <si>
    <t>2024-04-15</t>
  </si>
  <si>
    <t>O0414</t>
  </si>
  <si>
    <t>2024-06-14</t>
  </si>
  <si>
    <t>O0415</t>
  </si>
  <si>
    <t>O0416</t>
  </si>
  <si>
    <t>O0417</t>
  </si>
  <si>
    <t>O0418</t>
  </si>
  <si>
    <t>O0419</t>
  </si>
  <si>
    <t>2024-07-07</t>
  </si>
  <si>
    <t>O0420</t>
  </si>
  <si>
    <t>O0421</t>
  </si>
  <si>
    <t>O0422</t>
  </si>
  <si>
    <t>O0423</t>
  </si>
  <si>
    <t>2024-01-24</t>
  </si>
  <si>
    <t>O0424</t>
  </si>
  <si>
    <t>O0425</t>
  </si>
  <si>
    <t>2024-06-03</t>
  </si>
  <si>
    <t>O0426</t>
  </si>
  <si>
    <t>2024-12-06</t>
  </si>
  <si>
    <t>O0427</t>
  </si>
  <si>
    <t>2024-04-29</t>
  </si>
  <si>
    <t>O0428</t>
  </si>
  <si>
    <t>2024-10-30</t>
  </si>
  <si>
    <t>O0429</t>
  </si>
  <si>
    <t>2024-03-02</t>
  </si>
  <si>
    <t>O0430</t>
  </si>
  <si>
    <t>O0431</t>
  </si>
  <si>
    <t>O0432</t>
  </si>
  <si>
    <t>O0433</t>
  </si>
  <si>
    <t>2024-11-11</t>
  </si>
  <si>
    <t>O0434</t>
  </si>
  <si>
    <t>2024-03-04</t>
  </si>
  <si>
    <t>O0435</t>
  </si>
  <si>
    <t>2024-05-21</t>
  </si>
  <si>
    <t>O0436</t>
  </si>
  <si>
    <t>O0437</t>
  </si>
  <si>
    <t>O0438</t>
  </si>
  <si>
    <t>O0439</t>
  </si>
  <si>
    <t>O0440</t>
  </si>
  <si>
    <t>2024-08-29</t>
  </si>
  <si>
    <t>O0441</t>
  </si>
  <si>
    <t>2024-01-31</t>
  </si>
  <si>
    <t>O0442</t>
  </si>
  <si>
    <t>O0443</t>
  </si>
  <si>
    <t>O0444</t>
  </si>
  <si>
    <t>2024-03-20</t>
  </si>
  <si>
    <t>O0445</t>
  </si>
  <si>
    <t>O0446</t>
  </si>
  <si>
    <t>O0447</t>
  </si>
  <si>
    <t>O0448</t>
  </si>
  <si>
    <t>2024-03-24</t>
  </si>
  <si>
    <t>O0449</t>
  </si>
  <si>
    <t>O0450</t>
  </si>
  <si>
    <t>O0451</t>
  </si>
  <si>
    <t>O0452</t>
  </si>
  <si>
    <t>O0453</t>
  </si>
  <si>
    <t>O0454</t>
  </si>
  <si>
    <t>2024-01-07</t>
  </si>
  <si>
    <t>O0455</t>
  </si>
  <si>
    <t>O0456</t>
  </si>
  <si>
    <t>O0457</t>
  </si>
  <si>
    <t>2024-01-27</t>
  </si>
  <si>
    <t>O0458</t>
  </si>
  <si>
    <t>2024-08-26</t>
  </si>
  <si>
    <t>O0459</t>
  </si>
  <si>
    <t>O0460</t>
  </si>
  <si>
    <t>O0461</t>
  </si>
  <si>
    <t>2024-07-28</t>
  </si>
  <si>
    <t>O0462</t>
  </si>
  <si>
    <t>2024-01-05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</si>
  <si>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</si>
  <si>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</si>
  <si>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</si>
  <si>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</si>
  <si>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</si>
  <si>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</si>
  <si>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</si>
  <si>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</si>
  <si>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</si>
  <si>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</si>
  <si>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</si>
  <si>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</si>
  <si>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</si>
  <si>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</si>
  <si>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2024-11-18</t>
  </si>
  <si>
    <t>O0477</t>
  </si>
  <si>
    <t>2024-01-12</t>
  </si>
  <si>
    <t>O0478</t>
  </si>
  <si>
    <t>O0479</t>
  </si>
  <si>
    <t>O0480</t>
  </si>
  <si>
    <t>O0481</t>
  </si>
  <si>
    <t>2024-05-05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</si>
  <si>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</si>
  <si>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</si>
  <si>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</si>
  <si>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</si>
  <si>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</si>
  <si>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</si>
  <si>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</si>
  <si>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</si>
  <si>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</si>
  <si>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</si>
  <si>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</si>
  <si>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2024-11-04</t>
  </si>
  <si>
    <t>O0493</t>
  </si>
  <si>
    <t>2024-04-13</t>
  </si>
  <si>
    <t>O0494</t>
  </si>
  <si>
    <t>O0495</t>
  </si>
  <si>
    <t>O0496</t>
  </si>
  <si>
    <t>2024-03-21</t>
  </si>
  <si>
    <t>O0497</t>
  </si>
  <si>
    <t>O0498</t>
  </si>
  <si>
    <t>O0499</t>
  </si>
  <si>
    <t>2024-10-20</t>
  </si>
  <si>
    <t>O0500</t>
  </si>
  <si>
    <t>O0501</t>
  </si>
  <si>
    <t>O0502</t>
  </si>
  <si>
    <t>O0503</t>
  </si>
  <si>
    <t>2024-02-04</t>
  </si>
  <si>
    <t>O0504</t>
  </si>
  <si>
    <t>2024-08-02</t>
  </si>
  <si>
    <t>O0505</t>
  </si>
  <si>
    <t>O0506</t>
  </si>
  <si>
    <t>O0507</t>
  </si>
  <si>
    <t>O0508</t>
  </si>
  <si>
    <t>O0509</t>
  </si>
  <si>
    <t>O0510</t>
  </si>
  <si>
    <t>O0511</t>
  </si>
  <si>
    <t>2024-01-26</t>
  </si>
  <si>
    <t>O0512</t>
  </si>
  <si>
    <t>O0513</t>
  </si>
  <si>
    <t>2024-03-28</t>
  </si>
  <si>
    <t>O0514</t>
  </si>
  <si>
    <t>O0515</t>
  </si>
  <si>
    <t>O0516</t>
  </si>
  <si>
    <t>2024-05-14</t>
  </si>
  <si>
    <t>O0517</t>
  </si>
  <si>
    <t>O0518</t>
  </si>
  <si>
    <t>O0519</t>
  </si>
  <si>
    <t>O0520</t>
  </si>
  <si>
    <t>2024-01-18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</si>
  <si>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</si>
  <si>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</si>
  <si>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</si>
  <si>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</si>
  <si>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</si>
  <si>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</si>
  <si>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</si>
  <si>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</si>
  <si>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</si>
  <si>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</si>
  <si>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</si>
  <si>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</si>
  <si>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</si>
  <si>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</si>
  <si>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</si>
  <si>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</si>
  <si>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</si>
  <si>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</si>
  <si>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2024-03-31</t>
  </si>
  <si>
    <t>O0539</t>
  </si>
  <si>
    <t>2024-05-12</t>
  </si>
  <si>
    <t>O0540</t>
  </si>
  <si>
    <t>2024-10-19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</si>
  <si>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</si>
  <si>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</si>
  <si>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</si>
  <si>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</si>
  <si>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</si>
  <si>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</si>
  <si>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</si>
  <si>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</si>
  <si>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</si>
  <si>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2024-09-11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</si>
  <si>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</si>
  <si>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</si>
  <si>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</si>
  <si>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</si>
  <si>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</si>
  <si>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</si>
  <si>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</si>
  <si>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</si>
  <si>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</si>
  <si>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</si>
  <si>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</si>
  <si>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</si>
  <si>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2024-08-10</t>
  </si>
  <si>
    <t>O0562</t>
  </si>
  <si>
    <t>O0563</t>
  </si>
  <si>
    <t>O0564</t>
  </si>
  <si>
    <t>2024-06-25</t>
  </si>
  <si>
    <t>O0565</t>
  </si>
  <si>
    <t>2024-02-03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</si>
  <si>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</si>
  <si>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</si>
  <si>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</si>
  <si>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</si>
  <si>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</si>
  <si>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</si>
  <si>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</si>
  <si>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</si>
  <si>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</si>
  <si>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</si>
  <si>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2024-09-24</t>
  </si>
  <si>
    <t>O0576</t>
  </si>
  <si>
    <t>O0577</t>
  </si>
  <si>
    <t>O0578</t>
  </si>
  <si>
    <t>O0579</t>
  </si>
  <si>
    <t>O0580</t>
  </si>
  <si>
    <t>2024-02-18</t>
  </si>
  <si>
    <t>O0581</t>
  </si>
  <si>
    <t>2024-08-12</t>
  </si>
  <si>
    <t>O0582</t>
  </si>
  <si>
    <t>O0583</t>
  </si>
  <si>
    <t>O0584</t>
  </si>
  <si>
    <t>O0585</t>
  </si>
  <si>
    <t>O0586</t>
  </si>
  <si>
    <t>2024-03-07</t>
  </si>
  <si>
    <t>O0587</t>
  </si>
  <si>
    <t>O0588</t>
  </si>
  <si>
    <t>2024-04-24</t>
  </si>
  <si>
    <t>O0589</t>
  </si>
  <si>
    <t>O0590</t>
  </si>
  <si>
    <t>O0591</t>
  </si>
  <si>
    <t>2024-08-28</t>
  </si>
  <si>
    <t>O0592</t>
  </si>
  <si>
    <t>O0593</t>
  </si>
  <si>
    <t>2024-04-30</t>
  </si>
  <si>
    <t>O0594</t>
  </si>
  <si>
    <t>2024-08-16</t>
  </si>
  <si>
    <t>O0595</t>
  </si>
  <si>
    <t>O0596</t>
  </si>
  <si>
    <t>O0597</t>
  </si>
  <si>
    <t>O0598</t>
  </si>
  <si>
    <t>2024-11-03</t>
  </si>
  <si>
    <t>O0599</t>
  </si>
  <si>
    <t>O0600</t>
  </si>
  <si>
    <t>O0601</t>
  </si>
  <si>
    <t>2024-05-10</t>
  </si>
  <si>
    <t>O0602</t>
  </si>
  <si>
    <t>O0603</t>
  </si>
  <si>
    <t>O0604</t>
  </si>
  <si>
    <t>O0605</t>
  </si>
  <si>
    <t>O0606</t>
  </si>
  <si>
    <t>2024-03-06</t>
  </si>
  <si>
    <t>O0607</t>
  </si>
  <si>
    <t>2024-07-15</t>
  </si>
  <si>
    <t>O0608</t>
  </si>
  <si>
    <t>O0609</t>
  </si>
  <si>
    <t>O0610</t>
  </si>
  <si>
    <t>O0611</t>
  </si>
  <si>
    <t>O0612</t>
  </si>
  <si>
    <t>2024-02-29</t>
  </si>
  <si>
    <t>O0613</t>
  </si>
  <si>
    <t>2024-08-01</t>
  </si>
  <si>
    <t>O0614</t>
  </si>
  <si>
    <t>O0615</t>
  </si>
  <si>
    <t>2024-03-23</t>
  </si>
  <si>
    <t>O0616</t>
  </si>
  <si>
    <t>2024-10-04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</si>
  <si>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</si>
  <si>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</si>
  <si>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</si>
  <si>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</si>
  <si>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</si>
  <si>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</si>
  <si>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</si>
  <si>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</si>
  <si>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</si>
  <si>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</si>
  <si>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</si>
  <si>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</si>
  <si>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</si>
  <si>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</si>
  <si>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</si>
  <si>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</si>
  <si>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</si>
  <si>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</si>
  <si>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</si>
  <si>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</si>
  <si>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</si>
  <si>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</si>
  <si>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</si>
  <si>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</si>
  <si>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</si>
  <si>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</si>
  <si>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</si>
  <si>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2024-10-06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</si>
  <si>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</si>
  <si>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</si>
  <si>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</si>
  <si>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</si>
  <si>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</si>
  <si>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</si>
  <si>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</si>
  <si>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</si>
  <si>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</si>
  <si>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2024-07-05</t>
  </si>
  <si>
    <t>O0653</t>
  </si>
  <si>
    <t>2024-12-30</t>
  </si>
  <si>
    <t>O0654</t>
  </si>
  <si>
    <t>O0655</t>
  </si>
  <si>
    <t>O0656</t>
  </si>
  <si>
    <t>O0657</t>
  </si>
  <si>
    <t>O0658</t>
  </si>
  <si>
    <t>O0659</t>
  </si>
  <si>
    <t>O0660</t>
  </si>
  <si>
    <t>2024-09-13</t>
  </si>
  <si>
    <t>O0661</t>
  </si>
  <si>
    <t>2024-11-10</t>
  </si>
  <si>
    <t>O0662</t>
  </si>
  <si>
    <t>2024-10-16</t>
  </si>
  <si>
    <t>O0663</t>
  </si>
  <si>
    <t>2024-04-28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</si>
  <si>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</si>
  <si>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</si>
  <si>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</si>
  <si>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</si>
  <si>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</si>
  <si>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</si>
  <si>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</si>
  <si>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</si>
  <si>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</si>
  <si>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</si>
  <si>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</si>
  <si>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</si>
  <si>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</si>
  <si>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</si>
  <si>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</si>
  <si>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</si>
  <si>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</si>
  <si>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</si>
  <si>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</si>
  <si>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</si>
  <si>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</si>
  <si>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</si>
  <si>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2024-02-12</t>
  </si>
  <si>
    <t>O0686</t>
  </si>
  <si>
    <t>O0687</t>
  </si>
  <si>
    <t>O0688</t>
  </si>
  <si>
    <t>O0689</t>
  </si>
  <si>
    <t>O0690</t>
  </si>
  <si>
    <t>O0691</t>
  </si>
  <si>
    <t>2024-12-27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</si>
  <si>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</si>
  <si>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</si>
  <si>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</si>
  <si>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</si>
  <si>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</si>
  <si>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</si>
  <si>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</si>
  <si>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</si>
  <si>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</si>
  <si>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</si>
  <si>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</si>
  <si>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</si>
  <si>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</si>
  <si>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</si>
  <si>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</si>
  <si>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</si>
  <si>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2024-07-14</t>
  </si>
  <si>
    <t>O0708</t>
  </si>
  <si>
    <t>2024-10-01</t>
  </si>
  <si>
    <t>O0709</t>
  </si>
  <si>
    <t>2024-06-24</t>
  </si>
  <si>
    <t>O0710</t>
  </si>
  <si>
    <t>O0711</t>
  </si>
  <si>
    <t>O0712</t>
  </si>
  <si>
    <t>2024-07-01</t>
  </si>
  <si>
    <t>O0713</t>
  </si>
  <si>
    <t>O0714</t>
  </si>
  <si>
    <t>2024-10-21</t>
  </si>
  <si>
    <t>O0715</t>
  </si>
  <si>
    <t>O0716</t>
  </si>
  <si>
    <t>O0717</t>
  </si>
  <si>
    <t>O0718</t>
  </si>
  <si>
    <t>2024-04-17</t>
  </si>
  <si>
    <t>O0719</t>
  </si>
  <si>
    <t>O0720</t>
  </si>
  <si>
    <t>O0721</t>
  </si>
  <si>
    <t>O0722</t>
  </si>
  <si>
    <t>2024-12-17</t>
  </si>
  <si>
    <t>O0723</t>
  </si>
  <si>
    <t>2024-04-10</t>
  </si>
  <si>
    <t>O0724</t>
  </si>
  <si>
    <t>O0725</t>
  </si>
  <si>
    <t>O0726</t>
  </si>
  <si>
    <t>O0727</t>
  </si>
  <si>
    <t>O0728</t>
  </si>
  <si>
    <t>O0729</t>
  </si>
  <si>
    <t>O0730</t>
  </si>
  <si>
    <t>2024-02-10</t>
  </si>
  <si>
    <t>O0731</t>
  </si>
  <si>
    <t>O0732</t>
  </si>
  <si>
    <t>O0733</t>
  </si>
  <si>
    <t>O0734</t>
  </si>
  <si>
    <t>O0735</t>
  </si>
  <si>
    <t>O0736</t>
  </si>
  <si>
    <t>O0737</t>
  </si>
  <si>
    <t>2024-01-28</t>
  </si>
  <si>
    <t>O0738</t>
  </si>
  <si>
    <t>O0739</t>
  </si>
  <si>
    <t>O0740</t>
  </si>
  <si>
    <t>O0741</t>
  </si>
  <si>
    <t>O0742</t>
  </si>
  <si>
    <t>O0743</t>
  </si>
  <si>
    <t>O0744</t>
  </si>
  <si>
    <t>2024-05-13</t>
  </si>
  <si>
    <t>O0745</t>
  </si>
  <si>
    <t>2024-03-10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</si>
  <si>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</si>
  <si>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</si>
  <si>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</si>
  <si>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</si>
  <si>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</si>
  <si>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</si>
  <si>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</si>
  <si>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</si>
  <si>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</si>
  <si>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</si>
  <si>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</si>
  <si>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</si>
  <si>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</si>
  <si>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</si>
  <si>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</si>
  <si>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</si>
  <si>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</si>
  <si>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</si>
  <si>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</si>
  <si>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</si>
  <si>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</si>
  <si>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</si>
  <si>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</si>
  <si>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</si>
  <si>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2024-11-02</t>
  </si>
  <si>
    <t>O0770</t>
  </si>
  <si>
    <t>O0771</t>
  </si>
  <si>
    <t>2024-04-04</t>
  </si>
  <si>
    <t>O0772</t>
  </si>
  <si>
    <t>O0773</t>
  </si>
  <si>
    <t>O0774</t>
  </si>
  <si>
    <t>O0775</t>
  </si>
  <si>
    <t>O0776</t>
  </si>
  <si>
    <t>2024-12-02</t>
  </si>
  <si>
    <t>O0777</t>
  </si>
  <si>
    <t>O0778</t>
  </si>
  <si>
    <t>O0779</t>
  </si>
  <si>
    <t>O0780</t>
  </si>
  <si>
    <t>O0781</t>
  </si>
  <si>
    <t>O0782</t>
  </si>
  <si>
    <t>2024-04-01</t>
  </si>
  <si>
    <t>O0783</t>
  </si>
  <si>
    <t>O0784</t>
  </si>
  <si>
    <t>O0785</t>
  </si>
  <si>
    <t>2024-06-29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</si>
  <si>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</si>
  <si>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</si>
  <si>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</si>
  <si>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</si>
  <si>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</si>
  <si>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</si>
  <si>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</si>
  <si>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</si>
  <si>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</si>
  <si>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2024-12-19</t>
  </si>
  <si>
    <t>O0795</t>
  </si>
  <si>
    <t>O0796</t>
  </si>
  <si>
    <t>O0797</t>
  </si>
  <si>
    <t>2024-01-06</t>
  </si>
  <si>
    <t>O0798</t>
  </si>
  <si>
    <t>O0799</t>
  </si>
  <si>
    <t>O0800</t>
  </si>
  <si>
    <t>O0801</t>
  </si>
  <si>
    <t>O0802</t>
  </si>
  <si>
    <t>O0803</t>
  </si>
  <si>
    <t>O0804</t>
  </si>
  <si>
    <t>2024-08-08</t>
  </si>
  <si>
    <t>O0805</t>
  </si>
  <si>
    <t>O0806</t>
  </si>
  <si>
    <t>O0807</t>
  </si>
  <si>
    <t>O0808</t>
  </si>
  <si>
    <t>O0809</t>
  </si>
  <si>
    <t>O0810</t>
  </si>
  <si>
    <t>2024-04-18</t>
  </si>
  <si>
    <t>O0811</t>
  </si>
  <si>
    <t>O0812</t>
  </si>
  <si>
    <t>O0813</t>
  </si>
  <si>
    <t>O0814</t>
  </si>
  <si>
    <t>O0815</t>
  </si>
  <si>
    <t>O0816</t>
  </si>
  <si>
    <t>2024-02-15</t>
  </si>
  <si>
    <t>O0817</t>
  </si>
  <si>
    <t>O0818</t>
  </si>
  <si>
    <t>2024-01-10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</si>
  <si>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</si>
  <si>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</si>
  <si>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</si>
  <si>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</si>
  <si>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</si>
  <si>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</si>
  <si>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</si>
  <si>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</si>
  <si>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</si>
  <si>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</si>
  <si>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</si>
  <si>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</si>
  <si>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</si>
  <si>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</si>
  <si>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</si>
  <si>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</si>
  <si>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</si>
  <si>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</si>
  <si>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</si>
  <si>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</si>
  <si>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</si>
  <si>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</si>
  <si>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</si>
  <si>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</si>
  <si>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</si>
  <si>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</si>
  <si>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</si>
  <si>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</si>
  <si>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</si>
  <si>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</si>
  <si>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</si>
  <si>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2024-09-12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</si>
  <si>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</si>
  <si>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</si>
  <si>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</si>
  <si>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</si>
  <si>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</si>
  <si>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</si>
  <si>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</si>
  <si>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</si>
  <si>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2024-03-03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</si>
  <si>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</si>
  <si>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</si>
  <si>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</si>
  <si>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</si>
  <si>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</si>
  <si>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</si>
  <si>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</si>
  <si>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</si>
  <si>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</si>
  <si>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</si>
  <si>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</si>
  <si>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</si>
  <si>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</si>
  <si>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</si>
  <si>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</si>
  <si>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</si>
  <si>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</si>
  <si>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</si>
  <si>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</si>
  <si>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2024-09-25</t>
  </si>
  <si>
    <t>O0877</t>
  </si>
  <si>
    <t>O0878</t>
  </si>
  <si>
    <t>O0879</t>
  </si>
  <si>
    <t>O0880</t>
  </si>
  <si>
    <t>2024-06-08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</si>
  <si>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</si>
  <si>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</si>
  <si>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</si>
  <si>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</si>
  <si>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</si>
  <si>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</si>
  <si>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</si>
  <si>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</si>
  <si>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</si>
  <si>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</si>
  <si>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</si>
  <si>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</si>
  <si>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</si>
  <si>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</si>
  <si>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</si>
  <si>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</si>
  <si>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</si>
  <si>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</si>
  <si>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</si>
  <si>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</si>
  <si>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</si>
  <si>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</si>
  <si>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2024-07-18</t>
  </si>
  <si>
    <t>O0903</t>
  </si>
  <si>
    <t>O0904</t>
  </si>
  <si>
    <t>O0905</t>
  </si>
  <si>
    <t>O0906</t>
  </si>
  <si>
    <t>O0907</t>
  </si>
  <si>
    <t>2024-11-16</t>
  </si>
  <si>
    <t>O0908</t>
  </si>
  <si>
    <t>O0909</t>
  </si>
  <si>
    <t>O0910</t>
  </si>
  <si>
    <t>2024-03-14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</si>
  <si>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</si>
  <si>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</si>
  <si>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</si>
  <si>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</si>
  <si>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</si>
  <si>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</si>
  <si>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</si>
  <si>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</si>
  <si>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</si>
  <si>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</si>
  <si>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</si>
  <si>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</si>
  <si>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</si>
  <si>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</si>
  <si>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</si>
  <si>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2024-09-05</t>
  </si>
  <si>
    <t>O0926</t>
  </si>
  <si>
    <t>O0927</t>
  </si>
  <si>
    <t>O0928</t>
  </si>
  <si>
    <t>O0929</t>
  </si>
  <si>
    <t>2024-09-29</t>
  </si>
  <si>
    <t>O0930</t>
  </si>
  <si>
    <t>O0931</t>
  </si>
  <si>
    <t>O0932</t>
  </si>
  <si>
    <t>2024-11-08</t>
  </si>
  <si>
    <t>O0933</t>
  </si>
  <si>
    <t>O0934</t>
  </si>
  <si>
    <t>O0935</t>
  </si>
  <si>
    <t>2024-06-09</t>
  </si>
  <si>
    <t>O0936</t>
  </si>
  <si>
    <t>2024-02-23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</si>
  <si>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</si>
  <si>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</si>
  <si>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</si>
  <si>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</si>
  <si>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</si>
  <si>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</si>
  <si>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</si>
  <si>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</si>
  <si>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</si>
  <si>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</si>
  <si>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</si>
  <si>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</si>
  <si>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</si>
  <si>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</si>
  <si>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</si>
  <si>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</si>
  <si>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</si>
  <si>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</si>
  <si>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</si>
  <si>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</si>
  <si>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</si>
  <si>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</si>
  <si>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</si>
  <si>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</si>
  <si>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</si>
  <si>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</si>
  <si>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</si>
  <si>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</si>
  <si>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</si>
  <si>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</si>
  <si>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</si>
  <si>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</si>
  <si>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</si>
  <si>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</si>
  <si>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</si>
  <si>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</si>
  <si>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</si>
  <si>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</si>
  <si>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</si>
  <si>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</si>
  <si>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</si>
  <si>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</si>
  <si>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2024-06-15</t>
  </si>
  <si>
    <t>O0979</t>
  </si>
  <si>
    <t>O0980</t>
  </si>
  <si>
    <t>O0981</t>
  </si>
  <si>
    <t>O0982</t>
  </si>
  <si>
    <t>O0983</t>
  </si>
  <si>
    <t>O0984</t>
  </si>
  <si>
    <t>O0985</t>
  </si>
  <si>
    <t>2024-04-27</t>
  </si>
  <si>
    <t>O0986</t>
  </si>
  <si>
    <t>O0987</t>
  </si>
  <si>
    <t>2024-05-06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</si>
  <si>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</si>
  <si>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</si>
  <si>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</si>
  <si>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</si>
  <si>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</si>
  <si>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</si>
  <si>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</si>
  <si>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</si>
  <si>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</si>
  <si>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</si>
  <si>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</si>
  <si>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</si>
  <si>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</si>
  <si>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Sum of Sales</t>
  </si>
  <si>
    <t>Row Labels</t>
  </si>
  <si>
    <t>Grand Total</t>
  </si>
  <si>
    <t>Sum of Profit</t>
  </si>
  <si>
    <t>Sales Dashboard 2024</t>
  </si>
  <si>
    <t xml:space="preserve">Region </t>
  </si>
  <si>
    <t>Segment</t>
  </si>
  <si>
    <t>East</t>
  </si>
  <si>
    <t>North</t>
  </si>
  <si>
    <t>South</t>
  </si>
  <si>
    <t>West</t>
  </si>
  <si>
    <t>Column Labels</t>
  </si>
  <si>
    <t>Consumer</t>
  </si>
  <si>
    <t>Corporate</t>
  </si>
  <si>
    <t>Home Office</t>
  </si>
  <si>
    <t>sfs</t>
  </si>
  <si>
    <t>Profit_Margin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</si>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</sst>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n.xlsx]Sales By Region!PivotTable1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219399.00000000003</c:v>
                </c:pt>
                <c:pt idx="1">
                  <c:v>167297.08000000005</c:v>
                </c:pt>
                <c:pt idx="2">
                  <c:v>243515.40000000014</c:v>
                </c:pt>
                <c:pt idx="3">
                  <c:v>207678.85000000006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3-47EE-9317-2E09CC221FEB}"/>
            </c:ext>
          </c:extLst>
        </c:ser>
        <c:ser>
          <c:idx val="1"/>
          <c:order val="1"/>
          <c:tx>
            <c:strRef>
              <c:f>'Sales By Region'!$C$3:$C$4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Region'!$C$5:$C$9</c:f>
              <c:numCache>
                <c:formatCode>General</c:formatCode>
                <c:ptCount val="4"/>
                <c:pt idx="0">
                  <c:v>194510.34000000003</c:v>
                </c:pt>
                <c:pt idx="1">
                  <c:v>136412.68000000002</c:v>
                </c:pt>
                <c:pt idx="2">
                  <c:v>137247.09999999995</c:v>
                </c:pt>
                <c:pt idx="3">
                  <c:v>113151.77999999994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3-47EE-9317-2E09CC221FEB}"/>
            </c:ext>
          </c:extLst>
        </c:ser>
        <c:ser>
          <c:idx val="2"/>
          <c:order val="2"/>
          <c:tx>
            <c:strRef>
              <c:f>'Sales By Region'!$D$3:$D$4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Region'!$D$5:$D$9</c:f>
              <c:numCache>
                <c:formatCode>General</c:formatCode>
                <c:ptCount val="4"/>
                <c:pt idx="0">
                  <c:v>207780.94999999998</c:v>
                </c:pt>
                <c:pt idx="1">
                  <c:v>262074.28</c:v>
                </c:pt>
                <c:pt idx="2">
                  <c:v>389312.9499999999</c:v>
                </c:pt>
                <c:pt idx="3">
                  <c:v>199237.34999999998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3-47EE-9317-2E09CC221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2948031"/>
        <c:axId val="1868779391"/>
      </c:barChart>
      <c:catAx>
        <c:axId val="18029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779391"/>
        <c:crosses val="autoZero"/>
        <c:auto val="1"/>
        <c:lblAlgn val="ctr"/>
        <c:lblOffset val="100"/>
        <c:noMultiLvlLbl val="0"/>
      </c:catAx>
      <c:valAx>
        <c:axId val="18687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9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n.xlsx]Profit By Region!PivotTable2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Region'!$B$5:$B$8</c:f>
              <c:numCache>
                <c:formatCode>General</c:formatCode>
                <c:ptCount val="3"/>
                <c:pt idx="0">
                  <c:v>56763.750000000022</c:v>
                </c:pt>
                <c:pt idx="1">
                  <c:v>32488.719999999998</c:v>
                </c:pt>
                <c:pt idx="2">
                  <c:v>35347.390000000014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1-4588-9BA3-EDBA512843B8}"/>
            </c:ext>
          </c:extLst>
        </c:ser>
        <c:ser>
          <c:idx val="1"/>
          <c:order val="1"/>
          <c:tx>
            <c:strRef>
              <c:f>'Profit By Region'!$C$3:$C$4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Region'!$C$5:$C$8</c:f>
              <c:numCache>
                <c:formatCode>General</c:formatCode>
                <c:ptCount val="3"/>
                <c:pt idx="0">
                  <c:v>42875.909999999989</c:v>
                </c:pt>
                <c:pt idx="1">
                  <c:v>37640.130000000005</c:v>
                </c:pt>
                <c:pt idx="2">
                  <c:v>35835.330000000009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1-4588-9BA3-EDBA512843B8}"/>
            </c:ext>
          </c:extLst>
        </c:ser>
        <c:ser>
          <c:idx val="2"/>
          <c:order val="2"/>
          <c:tx>
            <c:strRef>
              <c:f>'Profit By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Region'!$D$5:$D$8</c:f>
              <c:numCache>
                <c:formatCode>General</c:formatCode>
                <c:ptCount val="3"/>
                <c:pt idx="0">
                  <c:v>52594.910000000011</c:v>
                </c:pt>
                <c:pt idx="1">
                  <c:v>45700.68</c:v>
                </c:pt>
                <c:pt idx="2">
                  <c:v>55386.2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1-4588-9BA3-EDBA512843B8}"/>
            </c:ext>
          </c:extLst>
        </c:ser>
        <c:ser>
          <c:idx val="3"/>
          <c:order val="3"/>
          <c:tx>
            <c:strRef>
              <c:f>'Profit By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Region'!$E$5:$E$8</c:f>
              <c:numCache>
                <c:formatCode>General</c:formatCode>
                <c:ptCount val="3"/>
                <c:pt idx="0">
                  <c:v>36622.709999999992</c:v>
                </c:pt>
                <c:pt idx="1">
                  <c:v>35182.589999999982</c:v>
                </c:pt>
                <c:pt idx="2">
                  <c:v>25889.200000000012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1-4588-9BA3-EDBA51284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972415"/>
        <c:axId val="1853969087"/>
      </c:barChart>
      <c:catAx>
        <c:axId val="18539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69087"/>
        <c:crosses val="autoZero"/>
        <c:auto val="1"/>
        <c:lblAlgn val="ctr"/>
        <c:lblOffset val="100"/>
        <c:noMultiLvlLbl val="0"/>
      </c:catAx>
      <c:valAx>
        <c:axId val="18539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7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n.xlsx]Profit by 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188857.27999999982</c:v>
                </c:pt>
                <c:pt idx="1">
                  <c:v>151012.11999999997</c:v>
                </c:pt>
                <c:pt idx="2">
                  <c:v>152458.12000000002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8-4873-A095-000C17E4C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69196799"/>
        <c:axId val="569194303"/>
      </c:barChart>
      <c:catAx>
        <c:axId val="5691967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4303"/>
        <c:crosses val="autoZero"/>
        <c:auto val="1"/>
        <c:lblAlgn val="ctr"/>
        <c:lblOffset val="100"/>
        <c:noMultiLvlLbl val="0"/>
      </c:catAx>
      <c:valAx>
        <c:axId val="5691943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9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n.xlsx]Monthly Sales Trend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11783595399483"/>
          <c:y val="0.26398648939374381"/>
          <c:w val="0.71331954529671959"/>
          <c:h val="0.3317357256572436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Sales Trend '!$A$4:$A$349</c:f>
              <c:strCache>
                <c:ptCount val="34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2024-01-09</c:v>
                </c:pt>
                <c:pt idx="8">
                  <c:v>2024-01-10</c:v>
                </c:pt>
                <c:pt idx="9">
                  <c:v>2024-01-11</c:v>
                </c:pt>
                <c:pt idx="10">
                  <c:v>2024-01-12</c:v>
                </c:pt>
                <c:pt idx="11">
                  <c:v>2024-01-13</c:v>
                </c:pt>
                <c:pt idx="12">
                  <c:v>2024-01-14</c:v>
                </c:pt>
                <c:pt idx="13">
                  <c:v>2024-01-15</c:v>
                </c:pt>
                <c:pt idx="14">
                  <c:v>sfs</c:v>
                </c:pt>
                <c:pt idx="15">
                  <c:v>2024-01-17</c:v>
                </c:pt>
                <c:pt idx="16">
                  <c:v>2024-01-18</c:v>
                </c:pt>
                <c:pt idx="17">
                  <c:v>2024-01-19</c:v>
                </c:pt>
                <c:pt idx="18">
                  <c:v>2024-01-20</c:v>
                </c:pt>
                <c:pt idx="19">
                  <c:v>2024-01-21</c:v>
                </c:pt>
                <c:pt idx="20">
                  <c:v>2024-01-22</c:v>
                </c:pt>
                <c:pt idx="21">
                  <c:v>2024-01-24</c:v>
                </c:pt>
                <c:pt idx="22">
                  <c:v>2024-01-26</c:v>
                </c:pt>
                <c:pt idx="23">
                  <c:v>2024-01-27</c:v>
                </c:pt>
                <c:pt idx="24">
                  <c:v>2024-01-28</c:v>
                </c:pt>
                <c:pt idx="25">
                  <c:v>2024-01-29</c:v>
                </c:pt>
                <c:pt idx="26">
                  <c:v>2024-01-30</c:v>
                </c:pt>
                <c:pt idx="27">
                  <c:v>2024-01-31</c:v>
                </c:pt>
                <c:pt idx="28">
                  <c:v>2024-02-01</c:v>
                </c:pt>
                <c:pt idx="29">
                  <c:v>2024-02-02</c:v>
                </c:pt>
                <c:pt idx="30">
                  <c:v>2024-02-03</c:v>
                </c:pt>
                <c:pt idx="31">
                  <c:v>2024-02-04</c:v>
                </c:pt>
                <c:pt idx="32">
                  <c:v>2024-02-05</c:v>
                </c:pt>
                <c:pt idx="33">
                  <c:v>2024-02-06</c:v>
                </c:pt>
                <c:pt idx="34">
                  <c:v>2024-02-07</c:v>
                </c:pt>
                <c:pt idx="35">
                  <c:v>2024-02-09</c:v>
                </c:pt>
                <c:pt idx="36">
                  <c:v>2024-02-10</c:v>
                </c:pt>
                <c:pt idx="37">
                  <c:v>2024-02-11</c:v>
                </c:pt>
                <c:pt idx="38">
                  <c:v>2024-02-12</c:v>
                </c:pt>
                <c:pt idx="39">
                  <c:v>2024-02-14</c:v>
                </c:pt>
                <c:pt idx="40">
                  <c:v>2024-02-15</c:v>
                </c:pt>
                <c:pt idx="41">
                  <c:v>2024-02-16</c:v>
                </c:pt>
                <c:pt idx="42">
                  <c:v>2024-02-17</c:v>
                </c:pt>
                <c:pt idx="43">
                  <c:v>2024-02-18</c:v>
                </c:pt>
                <c:pt idx="44">
                  <c:v>2024-02-19</c:v>
                </c:pt>
                <c:pt idx="45">
                  <c:v>2024-02-20</c:v>
                </c:pt>
                <c:pt idx="46">
                  <c:v>2024-02-21</c:v>
                </c:pt>
                <c:pt idx="47">
                  <c:v>2024-02-22</c:v>
                </c:pt>
                <c:pt idx="48">
                  <c:v>2024-02-23</c:v>
                </c:pt>
                <c:pt idx="49">
                  <c:v>2024-02-24</c:v>
                </c:pt>
                <c:pt idx="50">
                  <c:v>2024-02-25</c:v>
                </c:pt>
                <c:pt idx="51">
                  <c:v>2024-02-26</c:v>
                </c:pt>
                <c:pt idx="52">
                  <c:v>2024-02-27</c:v>
                </c:pt>
                <c:pt idx="53">
                  <c:v>2024-02-28</c:v>
                </c:pt>
                <c:pt idx="54">
                  <c:v>2024-02-29</c:v>
                </c:pt>
                <c:pt idx="55">
                  <c:v>2024-03-01</c:v>
                </c:pt>
                <c:pt idx="56">
                  <c:v>2024-03-02</c:v>
                </c:pt>
                <c:pt idx="57">
                  <c:v>2024-03-03</c:v>
                </c:pt>
                <c:pt idx="58">
                  <c:v>2024-03-04</c:v>
                </c:pt>
                <c:pt idx="59">
                  <c:v>2024-03-05</c:v>
                </c:pt>
                <c:pt idx="60">
                  <c:v>2024-03-06</c:v>
                </c:pt>
                <c:pt idx="61">
                  <c:v>2024-03-07</c:v>
                </c:pt>
                <c:pt idx="62">
                  <c:v>2024-03-08</c:v>
                </c:pt>
                <c:pt idx="63">
                  <c:v>2024-03-09</c:v>
                </c:pt>
                <c:pt idx="64">
                  <c:v>2024-03-10</c:v>
                </c:pt>
                <c:pt idx="65">
                  <c:v>2024-03-11</c:v>
                </c:pt>
                <c:pt idx="66">
                  <c:v>2024-03-12</c:v>
                </c:pt>
                <c:pt idx="67">
                  <c:v>2024-03-13</c:v>
                </c:pt>
                <c:pt idx="68">
                  <c:v>2024-03-14</c:v>
                </c:pt>
                <c:pt idx="69">
                  <c:v>2024-03-15</c:v>
                </c:pt>
                <c:pt idx="70">
                  <c:v>2024-03-17</c:v>
                </c:pt>
                <c:pt idx="71">
                  <c:v>2024-03-18</c:v>
                </c:pt>
                <c:pt idx="72">
                  <c:v>2024-03-19</c:v>
                </c:pt>
                <c:pt idx="73">
                  <c:v>2024-03-20</c:v>
                </c:pt>
                <c:pt idx="74">
                  <c:v>2024-03-21</c:v>
                </c:pt>
                <c:pt idx="75">
                  <c:v>2024-03-22</c:v>
                </c:pt>
                <c:pt idx="76">
                  <c:v>2024-03-23</c:v>
                </c:pt>
                <c:pt idx="77">
                  <c:v>2024-03-24</c:v>
                </c:pt>
                <c:pt idx="78">
                  <c:v>2024-03-25</c:v>
                </c:pt>
                <c:pt idx="79">
                  <c:v>2024-03-26</c:v>
                </c:pt>
                <c:pt idx="80">
                  <c:v>2024-03-27</c:v>
                </c:pt>
                <c:pt idx="81">
                  <c:v>2024-03-28</c:v>
                </c:pt>
                <c:pt idx="82">
                  <c:v>2024-03-29</c:v>
                </c:pt>
                <c:pt idx="83">
                  <c:v>2024-03-30</c:v>
                </c:pt>
                <c:pt idx="84">
                  <c:v>2024-03-31</c:v>
                </c:pt>
                <c:pt idx="85">
                  <c:v>2024-04-01</c:v>
                </c:pt>
                <c:pt idx="86">
                  <c:v>2024-04-02</c:v>
                </c:pt>
                <c:pt idx="87">
                  <c:v>2024-04-03</c:v>
                </c:pt>
                <c:pt idx="88">
                  <c:v>2024-04-04</c:v>
                </c:pt>
                <c:pt idx="89">
                  <c:v>2024-04-05</c:v>
                </c:pt>
                <c:pt idx="90">
                  <c:v>2024-04-07</c:v>
                </c:pt>
                <c:pt idx="91">
                  <c:v>2024-04-08</c:v>
                </c:pt>
                <c:pt idx="92">
                  <c:v>2024-04-09</c:v>
                </c:pt>
                <c:pt idx="93">
                  <c:v>2024-04-10</c:v>
                </c:pt>
                <c:pt idx="94">
                  <c:v>2024-04-11</c:v>
                </c:pt>
                <c:pt idx="95">
                  <c:v>2024-04-12</c:v>
                </c:pt>
                <c:pt idx="96">
                  <c:v>2024-04-13</c:v>
                </c:pt>
                <c:pt idx="97">
                  <c:v>2024-04-14</c:v>
                </c:pt>
                <c:pt idx="98">
                  <c:v>2024-04-15</c:v>
                </c:pt>
                <c:pt idx="99">
                  <c:v>2024-04-16</c:v>
                </c:pt>
                <c:pt idx="100">
                  <c:v>2024-04-17</c:v>
                </c:pt>
                <c:pt idx="101">
                  <c:v>2024-04-18</c:v>
                </c:pt>
                <c:pt idx="102">
                  <c:v>2024-04-19</c:v>
                </c:pt>
                <c:pt idx="103">
                  <c:v>2024-04-20</c:v>
                </c:pt>
                <c:pt idx="104">
                  <c:v>2024-04-21</c:v>
                </c:pt>
                <c:pt idx="105">
                  <c:v>2024-04-22</c:v>
                </c:pt>
                <c:pt idx="106">
                  <c:v>2024-04-23</c:v>
                </c:pt>
                <c:pt idx="107">
                  <c:v>2024-04-24</c:v>
                </c:pt>
                <c:pt idx="108">
                  <c:v>2024-04-25</c:v>
                </c:pt>
                <c:pt idx="109">
                  <c:v>2024-04-26</c:v>
                </c:pt>
                <c:pt idx="110">
                  <c:v>2024-04-27</c:v>
                </c:pt>
                <c:pt idx="111">
                  <c:v>2024-04-28</c:v>
                </c:pt>
                <c:pt idx="112">
                  <c:v>2024-04-29</c:v>
                </c:pt>
                <c:pt idx="113">
                  <c:v>2024-04-30</c:v>
                </c:pt>
                <c:pt idx="114">
                  <c:v>2024-05-01</c:v>
                </c:pt>
                <c:pt idx="115">
                  <c:v>2024-05-02</c:v>
                </c:pt>
                <c:pt idx="116">
                  <c:v>2024-05-03</c:v>
                </c:pt>
                <c:pt idx="117">
                  <c:v>2024-05-04</c:v>
                </c:pt>
                <c:pt idx="118">
                  <c:v>2024-05-05</c:v>
                </c:pt>
                <c:pt idx="119">
                  <c:v>2024-05-06</c:v>
                </c:pt>
                <c:pt idx="120">
                  <c:v>2024-05-07</c:v>
                </c:pt>
                <c:pt idx="121">
                  <c:v>2024-05-08</c:v>
                </c:pt>
                <c:pt idx="122">
                  <c:v>2024-05-09</c:v>
                </c:pt>
                <c:pt idx="123">
                  <c:v>2024-05-10</c:v>
                </c:pt>
                <c:pt idx="124">
                  <c:v>2024-05-11</c:v>
                </c:pt>
                <c:pt idx="125">
                  <c:v>2024-05-12</c:v>
                </c:pt>
                <c:pt idx="126">
                  <c:v>2024-05-13</c:v>
                </c:pt>
                <c:pt idx="127">
                  <c:v>2024-05-14</c:v>
                </c:pt>
                <c:pt idx="128">
                  <c:v>2024-05-15</c:v>
                </c:pt>
                <c:pt idx="129">
                  <c:v>2024-05-16</c:v>
                </c:pt>
                <c:pt idx="130">
                  <c:v>2024-05-17</c:v>
                </c:pt>
                <c:pt idx="131">
                  <c:v>2024-05-18</c:v>
                </c:pt>
                <c:pt idx="132">
                  <c:v>2024-05-19</c:v>
                </c:pt>
                <c:pt idx="133">
                  <c:v>2024-05-20</c:v>
                </c:pt>
                <c:pt idx="134">
                  <c:v>2024-05-21</c:v>
                </c:pt>
                <c:pt idx="135">
                  <c:v>2024-05-22</c:v>
                </c:pt>
                <c:pt idx="136">
                  <c:v>2024-05-23</c:v>
                </c:pt>
                <c:pt idx="137">
                  <c:v>2024-05-24</c:v>
                </c:pt>
                <c:pt idx="138">
                  <c:v>2024-05-25</c:v>
                </c:pt>
                <c:pt idx="139">
                  <c:v>2024-05-26</c:v>
                </c:pt>
                <c:pt idx="140">
                  <c:v>2024-05-27</c:v>
                </c:pt>
                <c:pt idx="141">
                  <c:v>2024-05-28</c:v>
                </c:pt>
                <c:pt idx="142">
                  <c:v>2024-05-29</c:v>
                </c:pt>
                <c:pt idx="143">
                  <c:v>2024-05-30</c:v>
                </c:pt>
                <c:pt idx="144">
                  <c:v>2024-05-31</c:v>
                </c:pt>
                <c:pt idx="145">
                  <c:v>2024-06-01</c:v>
                </c:pt>
                <c:pt idx="146">
                  <c:v>2024-06-02</c:v>
                </c:pt>
                <c:pt idx="147">
                  <c:v>2024-06-03</c:v>
                </c:pt>
                <c:pt idx="148">
                  <c:v>2024-06-04</c:v>
                </c:pt>
                <c:pt idx="149">
                  <c:v>2024-06-05</c:v>
                </c:pt>
                <c:pt idx="150">
                  <c:v>2024-06-06</c:v>
                </c:pt>
                <c:pt idx="151">
                  <c:v>2024-06-08</c:v>
                </c:pt>
                <c:pt idx="152">
                  <c:v>2024-06-09</c:v>
                </c:pt>
                <c:pt idx="153">
                  <c:v>2024-06-10</c:v>
                </c:pt>
                <c:pt idx="154">
                  <c:v>2024-06-11</c:v>
                </c:pt>
                <c:pt idx="155">
                  <c:v>2024-06-12</c:v>
                </c:pt>
                <c:pt idx="156">
                  <c:v>2024-06-13</c:v>
                </c:pt>
                <c:pt idx="157">
                  <c:v>2024-06-14</c:v>
                </c:pt>
                <c:pt idx="158">
                  <c:v>2024-06-15</c:v>
                </c:pt>
                <c:pt idx="159">
                  <c:v>2024-06-16</c:v>
                </c:pt>
                <c:pt idx="160">
                  <c:v>2024-06-18</c:v>
                </c:pt>
                <c:pt idx="161">
                  <c:v>2024-06-19</c:v>
                </c:pt>
                <c:pt idx="162">
                  <c:v>2024-06-21</c:v>
                </c:pt>
                <c:pt idx="163">
                  <c:v>2024-06-22</c:v>
                </c:pt>
                <c:pt idx="164">
                  <c:v>2024-06-23</c:v>
                </c:pt>
                <c:pt idx="165">
                  <c:v>2024-06-24</c:v>
                </c:pt>
                <c:pt idx="166">
                  <c:v>2024-06-25</c:v>
                </c:pt>
                <c:pt idx="167">
                  <c:v>2024-06-26</c:v>
                </c:pt>
                <c:pt idx="168">
                  <c:v>2024-06-27</c:v>
                </c:pt>
                <c:pt idx="169">
                  <c:v>2024-06-28</c:v>
                </c:pt>
                <c:pt idx="170">
                  <c:v>2024-06-29</c:v>
                </c:pt>
                <c:pt idx="171">
                  <c:v>2024-07-01</c:v>
                </c:pt>
                <c:pt idx="172">
                  <c:v>2024-07-02</c:v>
                </c:pt>
                <c:pt idx="173">
                  <c:v>2024-07-03</c:v>
                </c:pt>
                <c:pt idx="174">
                  <c:v>2024-07-04</c:v>
                </c:pt>
                <c:pt idx="175">
                  <c:v>2024-07-05</c:v>
                </c:pt>
                <c:pt idx="176">
                  <c:v>2024-07-06</c:v>
                </c:pt>
                <c:pt idx="177">
                  <c:v>2024-07-07</c:v>
                </c:pt>
                <c:pt idx="178">
                  <c:v>2024-07-08</c:v>
                </c:pt>
                <c:pt idx="179">
                  <c:v>2024-07-09</c:v>
                </c:pt>
                <c:pt idx="180">
                  <c:v>2024-07-10</c:v>
                </c:pt>
                <c:pt idx="181">
                  <c:v>2024-07-11</c:v>
                </c:pt>
                <c:pt idx="182">
                  <c:v>2024-07-12</c:v>
                </c:pt>
                <c:pt idx="183">
                  <c:v>2024-07-13</c:v>
                </c:pt>
                <c:pt idx="184">
                  <c:v>2024-07-14</c:v>
                </c:pt>
                <c:pt idx="185">
                  <c:v>2024-07-15</c:v>
                </c:pt>
                <c:pt idx="186">
                  <c:v>2024-07-16</c:v>
                </c:pt>
                <c:pt idx="187">
                  <c:v>2024-07-17</c:v>
                </c:pt>
                <c:pt idx="188">
                  <c:v>2024-07-18</c:v>
                </c:pt>
                <c:pt idx="189">
                  <c:v>2024-07-19</c:v>
                </c:pt>
                <c:pt idx="190">
                  <c:v>2024-07-20</c:v>
                </c:pt>
                <c:pt idx="191">
                  <c:v>2024-07-21</c:v>
                </c:pt>
                <c:pt idx="192">
                  <c:v>2024-07-22</c:v>
                </c:pt>
                <c:pt idx="193">
                  <c:v>2024-07-24</c:v>
                </c:pt>
                <c:pt idx="194">
                  <c:v>2024-07-25</c:v>
                </c:pt>
                <c:pt idx="195">
                  <c:v>2024-07-26</c:v>
                </c:pt>
                <c:pt idx="196">
                  <c:v>2024-07-27</c:v>
                </c:pt>
                <c:pt idx="197">
                  <c:v>2024-07-28</c:v>
                </c:pt>
                <c:pt idx="198">
                  <c:v>2024-07-29</c:v>
                </c:pt>
                <c:pt idx="199">
                  <c:v>2024-07-30</c:v>
                </c:pt>
                <c:pt idx="200">
                  <c:v>2024-07-31</c:v>
                </c:pt>
                <c:pt idx="201">
                  <c:v>2024-08-01</c:v>
                </c:pt>
                <c:pt idx="202">
                  <c:v>2024-08-02</c:v>
                </c:pt>
                <c:pt idx="203">
                  <c:v>2024-08-03</c:v>
                </c:pt>
                <c:pt idx="204">
                  <c:v>2024-08-04</c:v>
                </c:pt>
                <c:pt idx="205">
                  <c:v>2024-08-05</c:v>
                </c:pt>
                <c:pt idx="206">
                  <c:v>2024-08-06</c:v>
                </c:pt>
                <c:pt idx="207">
                  <c:v>2024-08-07</c:v>
                </c:pt>
                <c:pt idx="208">
                  <c:v>2024-08-08</c:v>
                </c:pt>
                <c:pt idx="209">
                  <c:v>2024-08-09</c:v>
                </c:pt>
                <c:pt idx="210">
                  <c:v>2024-08-10</c:v>
                </c:pt>
                <c:pt idx="211">
                  <c:v>2024-08-11</c:v>
                </c:pt>
                <c:pt idx="212">
                  <c:v>2024-08-12</c:v>
                </c:pt>
                <c:pt idx="213">
                  <c:v>2024-08-13</c:v>
                </c:pt>
                <c:pt idx="214">
                  <c:v>2024-08-14</c:v>
                </c:pt>
                <c:pt idx="215">
                  <c:v>2024-08-16</c:v>
                </c:pt>
                <c:pt idx="216">
                  <c:v>2024-08-17</c:v>
                </c:pt>
                <c:pt idx="217">
                  <c:v>2024-08-18</c:v>
                </c:pt>
                <c:pt idx="218">
                  <c:v>2024-08-20</c:v>
                </c:pt>
                <c:pt idx="219">
                  <c:v>2024-08-21</c:v>
                </c:pt>
                <c:pt idx="220">
                  <c:v>2024-08-22</c:v>
                </c:pt>
                <c:pt idx="221">
                  <c:v>2024-08-23</c:v>
                </c:pt>
                <c:pt idx="222">
                  <c:v>2024-08-24</c:v>
                </c:pt>
                <c:pt idx="223">
                  <c:v>2024-08-25</c:v>
                </c:pt>
                <c:pt idx="224">
                  <c:v>2024-08-26</c:v>
                </c:pt>
                <c:pt idx="225">
                  <c:v>2024-08-27</c:v>
                </c:pt>
                <c:pt idx="226">
                  <c:v>2024-08-28</c:v>
                </c:pt>
                <c:pt idx="227">
                  <c:v>2024-08-29</c:v>
                </c:pt>
                <c:pt idx="228">
                  <c:v>2024-08-30</c:v>
                </c:pt>
                <c:pt idx="229">
                  <c:v>2024-08-31</c:v>
                </c:pt>
                <c:pt idx="230">
                  <c:v>2024-09-01</c:v>
                </c:pt>
                <c:pt idx="231">
                  <c:v>2024-09-02</c:v>
                </c:pt>
                <c:pt idx="232">
                  <c:v>2024-09-03</c:v>
                </c:pt>
                <c:pt idx="233">
                  <c:v>2024-09-04</c:v>
                </c:pt>
                <c:pt idx="234">
                  <c:v>2024-09-05</c:v>
                </c:pt>
                <c:pt idx="235">
                  <c:v>2024-09-06</c:v>
                </c:pt>
                <c:pt idx="236">
                  <c:v>2024-09-07</c:v>
                </c:pt>
                <c:pt idx="237">
                  <c:v>2024-09-08</c:v>
                </c:pt>
                <c:pt idx="238">
                  <c:v>2024-09-09</c:v>
                </c:pt>
                <c:pt idx="239">
                  <c:v>2024-09-10</c:v>
                </c:pt>
                <c:pt idx="240">
                  <c:v>2024-09-11</c:v>
                </c:pt>
                <c:pt idx="241">
                  <c:v>2024-09-12</c:v>
                </c:pt>
                <c:pt idx="242">
                  <c:v>2024-09-13</c:v>
                </c:pt>
                <c:pt idx="243">
                  <c:v>2024-09-14</c:v>
                </c:pt>
                <c:pt idx="244">
                  <c:v>2024-09-15</c:v>
                </c:pt>
                <c:pt idx="245">
                  <c:v>2024-09-16</c:v>
                </c:pt>
                <c:pt idx="246">
                  <c:v>2024-09-18</c:v>
                </c:pt>
                <c:pt idx="247">
                  <c:v>2024-09-19</c:v>
                </c:pt>
                <c:pt idx="248">
                  <c:v>2024-09-20</c:v>
                </c:pt>
                <c:pt idx="249">
                  <c:v>2024-09-21</c:v>
                </c:pt>
                <c:pt idx="250">
                  <c:v>2024-09-22</c:v>
                </c:pt>
                <c:pt idx="251">
                  <c:v>2024-09-24</c:v>
                </c:pt>
                <c:pt idx="252">
                  <c:v>2024-09-25</c:v>
                </c:pt>
                <c:pt idx="253">
                  <c:v>2024-09-26</c:v>
                </c:pt>
                <c:pt idx="254">
                  <c:v>2024-09-27</c:v>
                </c:pt>
                <c:pt idx="255">
                  <c:v>2024-09-28</c:v>
                </c:pt>
                <c:pt idx="256">
                  <c:v>2024-09-29</c:v>
                </c:pt>
                <c:pt idx="257">
                  <c:v>2024-09-30</c:v>
                </c:pt>
                <c:pt idx="258">
                  <c:v>2024-10-01</c:v>
                </c:pt>
                <c:pt idx="259">
                  <c:v>2024-10-02</c:v>
                </c:pt>
                <c:pt idx="260">
                  <c:v>2024-10-03</c:v>
                </c:pt>
                <c:pt idx="261">
                  <c:v>2024-10-04</c:v>
                </c:pt>
                <c:pt idx="262">
                  <c:v>2024-10-05</c:v>
                </c:pt>
                <c:pt idx="263">
                  <c:v>2024-10-06</c:v>
                </c:pt>
                <c:pt idx="264">
                  <c:v>2024-10-07</c:v>
                </c:pt>
                <c:pt idx="265">
                  <c:v>2024-10-08</c:v>
                </c:pt>
                <c:pt idx="266">
                  <c:v>2024-10-09</c:v>
                </c:pt>
                <c:pt idx="267">
                  <c:v>2024-10-10</c:v>
                </c:pt>
                <c:pt idx="268">
                  <c:v>2024-10-11</c:v>
                </c:pt>
                <c:pt idx="269">
                  <c:v>2024-10-12</c:v>
                </c:pt>
                <c:pt idx="270">
                  <c:v>2024-10-13</c:v>
                </c:pt>
                <c:pt idx="271">
                  <c:v>2024-10-14</c:v>
                </c:pt>
                <c:pt idx="272">
                  <c:v>2024-10-15</c:v>
                </c:pt>
                <c:pt idx="273">
                  <c:v>2024-10-16</c:v>
                </c:pt>
                <c:pt idx="274">
                  <c:v>2024-10-17</c:v>
                </c:pt>
                <c:pt idx="275">
                  <c:v>2024-10-18</c:v>
                </c:pt>
                <c:pt idx="276">
                  <c:v>2024-10-19</c:v>
                </c:pt>
                <c:pt idx="277">
                  <c:v>2024-10-20</c:v>
                </c:pt>
                <c:pt idx="278">
                  <c:v>2024-10-21</c:v>
                </c:pt>
                <c:pt idx="279">
                  <c:v>2024-10-22</c:v>
                </c:pt>
                <c:pt idx="280">
                  <c:v>2024-10-23</c:v>
                </c:pt>
                <c:pt idx="281">
                  <c:v>2024-10-24</c:v>
                </c:pt>
                <c:pt idx="282">
                  <c:v>2024-10-25</c:v>
                </c:pt>
                <c:pt idx="283">
                  <c:v>2024-10-26</c:v>
                </c:pt>
                <c:pt idx="284">
                  <c:v>2024-10-27</c:v>
                </c:pt>
                <c:pt idx="285">
                  <c:v>2024-10-28</c:v>
                </c:pt>
                <c:pt idx="286">
                  <c:v>2024-10-29</c:v>
                </c:pt>
                <c:pt idx="287">
                  <c:v>2024-10-30</c:v>
                </c:pt>
                <c:pt idx="288">
                  <c:v>2024-10-31</c:v>
                </c:pt>
                <c:pt idx="289">
                  <c:v>2024-11-01</c:v>
                </c:pt>
                <c:pt idx="290">
                  <c:v>2024-11-02</c:v>
                </c:pt>
                <c:pt idx="291">
                  <c:v>2024-11-03</c:v>
                </c:pt>
                <c:pt idx="292">
                  <c:v>2024-11-04</c:v>
                </c:pt>
                <c:pt idx="293">
                  <c:v>2024-11-05</c:v>
                </c:pt>
                <c:pt idx="294">
                  <c:v>2024-11-08</c:v>
                </c:pt>
                <c:pt idx="295">
                  <c:v>2024-11-09</c:v>
                </c:pt>
                <c:pt idx="296">
                  <c:v>2024-11-10</c:v>
                </c:pt>
                <c:pt idx="297">
                  <c:v>2024-11-11</c:v>
                </c:pt>
                <c:pt idx="298">
                  <c:v>2024-11-12</c:v>
                </c:pt>
                <c:pt idx="299">
                  <c:v>2024-11-13</c:v>
                </c:pt>
                <c:pt idx="300">
                  <c:v>2024-11-14</c:v>
                </c:pt>
                <c:pt idx="301">
                  <c:v>2024-11-16</c:v>
                </c:pt>
                <c:pt idx="302">
                  <c:v>2024-11-17</c:v>
                </c:pt>
                <c:pt idx="303">
                  <c:v>2024-11-18</c:v>
                </c:pt>
                <c:pt idx="304">
                  <c:v>2024-11-19</c:v>
                </c:pt>
                <c:pt idx="305">
                  <c:v>2024-11-20</c:v>
                </c:pt>
                <c:pt idx="306">
                  <c:v>2024-11-21</c:v>
                </c:pt>
                <c:pt idx="307">
                  <c:v>2024-11-22</c:v>
                </c:pt>
                <c:pt idx="308">
                  <c:v>2024-11-24</c:v>
                </c:pt>
                <c:pt idx="309">
                  <c:v>2024-11-25</c:v>
                </c:pt>
                <c:pt idx="310">
                  <c:v>2024-11-26</c:v>
                </c:pt>
                <c:pt idx="311">
                  <c:v>2024-11-27</c:v>
                </c:pt>
                <c:pt idx="312">
                  <c:v>2024-11-28</c:v>
                </c:pt>
                <c:pt idx="313">
                  <c:v>2024-11-29</c:v>
                </c:pt>
                <c:pt idx="314">
                  <c:v>2024-11-30</c:v>
                </c:pt>
                <c:pt idx="315">
                  <c:v>2024-12-01</c:v>
                </c:pt>
                <c:pt idx="316">
                  <c:v>2024-12-02</c:v>
                </c:pt>
                <c:pt idx="317">
                  <c:v>2024-12-03</c:v>
                </c:pt>
                <c:pt idx="318">
                  <c:v>2024-12-04</c:v>
                </c:pt>
                <c:pt idx="319">
                  <c:v>2024-12-05</c:v>
                </c:pt>
                <c:pt idx="320">
                  <c:v>2024-12-06</c:v>
                </c:pt>
                <c:pt idx="321">
                  <c:v>2024-12-07</c:v>
                </c:pt>
                <c:pt idx="322">
                  <c:v>2024-12-08</c:v>
                </c:pt>
                <c:pt idx="323">
                  <c:v>2024-12-09</c:v>
                </c:pt>
                <c:pt idx="324">
                  <c:v>2024-12-10</c:v>
                </c:pt>
                <c:pt idx="325">
                  <c:v>2024-12-11</c:v>
                </c:pt>
                <c:pt idx="326">
                  <c:v>2024-12-12</c:v>
                </c:pt>
                <c:pt idx="327">
                  <c:v>2024-12-13</c:v>
                </c:pt>
                <c:pt idx="328">
                  <c:v>2024-12-14</c:v>
                </c:pt>
                <c:pt idx="329">
                  <c:v>2024-12-15</c:v>
                </c:pt>
                <c:pt idx="330">
                  <c:v>2024-12-16</c:v>
                </c:pt>
                <c:pt idx="331">
                  <c:v>2024-12-17</c:v>
                </c:pt>
                <c:pt idx="332">
                  <c:v>2024-12-18</c:v>
                </c:pt>
                <c:pt idx="333">
                  <c:v>2024-12-19</c:v>
                </c:pt>
                <c:pt idx="334">
                  <c:v>2024-12-20</c:v>
                </c:pt>
                <c:pt idx="335">
                  <c:v>2024-12-21</c:v>
                </c:pt>
                <c:pt idx="336">
                  <c:v>2024-12-22</c:v>
                </c:pt>
                <c:pt idx="337">
                  <c:v>2024-12-23</c:v>
                </c:pt>
                <c:pt idx="338">
                  <c:v>2024-12-24</c:v>
                </c:pt>
                <c:pt idx="339">
                  <c:v>2024-12-25</c:v>
                </c:pt>
                <c:pt idx="340">
                  <c:v>2024-12-26</c:v>
                </c:pt>
                <c:pt idx="341">
                  <c:v>2024-12-27</c:v>
                </c:pt>
                <c:pt idx="342">
                  <c:v>2024-12-28</c:v>
                </c:pt>
                <c:pt idx="343">
                  <c:v>2024-12-29</c:v>
                </c:pt>
                <c:pt idx="344">
                  <c:v>2024-12-30</c:v>
                </c:pt>
              </c:strCache>
            </c:strRef>
          </c:cat>
          <c:val>
            <c:numRef>
              <c:f>'Monthly Sales Trend '!$B$4:$B$349</c:f>
              <c:numCache>
                <c:formatCode>General</c:formatCode>
                <c:ptCount val="345"/>
                <c:pt idx="0">
                  <c:v>4975.37</c:v>
                </c:pt>
                <c:pt idx="1">
                  <c:v>2752.96</c:v>
                </c:pt>
                <c:pt idx="2">
                  <c:v>2302.92</c:v>
                </c:pt>
                <c:pt idx="3">
                  <c:v>6094.66</c:v>
                </c:pt>
                <c:pt idx="4">
                  <c:v>6488.24</c:v>
                </c:pt>
                <c:pt idx="5">
                  <c:v>3298.62</c:v>
                </c:pt>
                <c:pt idx="6">
                  <c:v>6632.33</c:v>
                </c:pt>
                <c:pt idx="7">
                  <c:v>14689.099999999999</c:v>
                </c:pt>
                <c:pt idx="8">
                  <c:v>5923.84</c:v>
                </c:pt>
                <c:pt idx="9">
                  <c:v>5344.79</c:v>
                </c:pt>
                <c:pt idx="10">
                  <c:v>8422.68</c:v>
                </c:pt>
                <c:pt idx="11">
                  <c:v>6612.97</c:v>
                </c:pt>
                <c:pt idx="12">
                  <c:v>5777.71</c:v>
                </c:pt>
                <c:pt idx="13">
                  <c:v>4907.63</c:v>
                </c:pt>
                <c:pt idx="14">
                  <c:v>13356.210000000001</c:v>
                </c:pt>
                <c:pt idx="15">
                  <c:v>2488.25</c:v>
                </c:pt>
                <c:pt idx="16">
                  <c:v>4140.6099999999997</c:v>
                </c:pt>
                <c:pt idx="17">
                  <c:v>8484.76</c:v>
                </c:pt>
                <c:pt idx="18">
                  <c:v>28131.69</c:v>
                </c:pt>
                <c:pt idx="19">
                  <c:v>13365.699999999999</c:v>
                </c:pt>
                <c:pt idx="20">
                  <c:v>19503.350000000002</c:v>
                </c:pt>
                <c:pt idx="21">
                  <c:v>7139.09</c:v>
                </c:pt>
                <c:pt idx="22">
                  <c:v>2741.69</c:v>
                </c:pt>
                <c:pt idx="23">
                  <c:v>685.06</c:v>
                </c:pt>
                <c:pt idx="24">
                  <c:v>12326.900000000001</c:v>
                </c:pt>
                <c:pt idx="25">
                  <c:v>17024.07</c:v>
                </c:pt>
                <c:pt idx="26">
                  <c:v>9599.81</c:v>
                </c:pt>
                <c:pt idx="27">
                  <c:v>167.59</c:v>
                </c:pt>
                <c:pt idx="28">
                  <c:v>3064.53</c:v>
                </c:pt>
                <c:pt idx="29">
                  <c:v>6925.36</c:v>
                </c:pt>
                <c:pt idx="30">
                  <c:v>3445.55</c:v>
                </c:pt>
                <c:pt idx="31">
                  <c:v>1399.54</c:v>
                </c:pt>
                <c:pt idx="32">
                  <c:v>4827.0599999999995</c:v>
                </c:pt>
                <c:pt idx="33">
                  <c:v>4585.6400000000003</c:v>
                </c:pt>
                <c:pt idx="34">
                  <c:v>5357.91</c:v>
                </c:pt>
                <c:pt idx="35">
                  <c:v>1517.34</c:v>
                </c:pt>
                <c:pt idx="36">
                  <c:v>7209.42</c:v>
                </c:pt>
                <c:pt idx="37">
                  <c:v>10528.1</c:v>
                </c:pt>
                <c:pt idx="38">
                  <c:v>4506.29</c:v>
                </c:pt>
                <c:pt idx="39">
                  <c:v>20477.350000000002</c:v>
                </c:pt>
                <c:pt idx="40">
                  <c:v>7389.4800000000005</c:v>
                </c:pt>
                <c:pt idx="41">
                  <c:v>10108.170000000002</c:v>
                </c:pt>
                <c:pt idx="42">
                  <c:v>3465</c:v>
                </c:pt>
                <c:pt idx="43">
                  <c:v>6605.4800000000005</c:v>
                </c:pt>
                <c:pt idx="44">
                  <c:v>13712.64</c:v>
                </c:pt>
                <c:pt idx="45">
                  <c:v>10819.84</c:v>
                </c:pt>
                <c:pt idx="46">
                  <c:v>13183.03</c:v>
                </c:pt>
                <c:pt idx="47">
                  <c:v>2646.75</c:v>
                </c:pt>
                <c:pt idx="48">
                  <c:v>158.61000000000001</c:v>
                </c:pt>
                <c:pt idx="49">
                  <c:v>9488.4800000000014</c:v>
                </c:pt>
                <c:pt idx="50">
                  <c:v>12825.45</c:v>
                </c:pt>
                <c:pt idx="51">
                  <c:v>3027.77</c:v>
                </c:pt>
                <c:pt idx="52">
                  <c:v>7725.1500000000005</c:v>
                </c:pt>
                <c:pt idx="53">
                  <c:v>9634.4600000000009</c:v>
                </c:pt>
                <c:pt idx="54">
                  <c:v>3502.13</c:v>
                </c:pt>
                <c:pt idx="55">
                  <c:v>5140.3099999999995</c:v>
                </c:pt>
                <c:pt idx="56">
                  <c:v>7473.02</c:v>
                </c:pt>
                <c:pt idx="57">
                  <c:v>418.14</c:v>
                </c:pt>
                <c:pt idx="58">
                  <c:v>5160.68</c:v>
                </c:pt>
                <c:pt idx="59">
                  <c:v>6544.29</c:v>
                </c:pt>
                <c:pt idx="60">
                  <c:v>2934.92</c:v>
                </c:pt>
                <c:pt idx="61">
                  <c:v>3124.5599999999995</c:v>
                </c:pt>
                <c:pt idx="62">
                  <c:v>8458.24</c:v>
                </c:pt>
                <c:pt idx="63">
                  <c:v>8904.0400000000009</c:v>
                </c:pt>
                <c:pt idx="64">
                  <c:v>9629.89</c:v>
                </c:pt>
                <c:pt idx="65">
                  <c:v>7627.13</c:v>
                </c:pt>
                <c:pt idx="66">
                  <c:v>8224.17</c:v>
                </c:pt>
                <c:pt idx="67">
                  <c:v>16758.080000000002</c:v>
                </c:pt>
                <c:pt idx="68">
                  <c:v>156.85</c:v>
                </c:pt>
                <c:pt idx="69">
                  <c:v>2856.37</c:v>
                </c:pt>
                <c:pt idx="70">
                  <c:v>12552.86</c:v>
                </c:pt>
                <c:pt idx="71">
                  <c:v>6993.38</c:v>
                </c:pt>
                <c:pt idx="72">
                  <c:v>4569.17</c:v>
                </c:pt>
                <c:pt idx="73">
                  <c:v>4612.53</c:v>
                </c:pt>
                <c:pt idx="74">
                  <c:v>3963.1100000000006</c:v>
                </c:pt>
                <c:pt idx="75">
                  <c:v>16720.86</c:v>
                </c:pt>
                <c:pt idx="76">
                  <c:v>3070.8900000000003</c:v>
                </c:pt>
                <c:pt idx="77">
                  <c:v>3568.71</c:v>
                </c:pt>
                <c:pt idx="78">
                  <c:v>13030.970000000001</c:v>
                </c:pt>
                <c:pt idx="79">
                  <c:v>16719.829999999998</c:v>
                </c:pt>
                <c:pt idx="80">
                  <c:v>6299.89</c:v>
                </c:pt>
                <c:pt idx="81">
                  <c:v>1078.4100000000001</c:v>
                </c:pt>
                <c:pt idx="82">
                  <c:v>9962.7000000000007</c:v>
                </c:pt>
                <c:pt idx="83">
                  <c:v>9340.4500000000007</c:v>
                </c:pt>
                <c:pt idx="84">
                  <c:v>2421.0699999999997</c:v>
                </c:pt>
                <c:pt idx="85">
                  <c:v>4604.59</c:v>
                </c:pt>
                <c:pt idx="86">
                  <c:v>11514.52</c:v>
                </c:pt>
                <c:pt idx="87">
                  <c:v>1039.92</c:v>
                </c:pt>
                <c:pt idx="88">
                  <c:v>4681.26</c:v>
                </c:pt>
                <c:pt idx="89">
                  <c:v>13676.869999999999</c:v>
                </c:pt>
                <c:pt idx="90">
                  <c:v>6599.9100000000008</c:v>
                </c:pt>
                <c:pt idx="91">
                  <c:v>6388.7800000000007</c:v>
                </c:pt>
                <c:pt idx="92">
                  <c:v>28775.309999999998</c:v>
                </c:pt>
                <c:pt idx="93">
                  <c:v>5311.6900000000005</c:v>
                </c:pt>
                <c:pt idx="94">
                  <c:v>6381.23</c:v>
                </c:pt>
                <c:pt idx="95">
                  <c:v>6310.66</c:v>
                </c:pt>
                <c:pt idx="96">
                  <c:v>103.35</c:v>
                </c:pt>
                <c:pt idx="97">
                  <c:v>2400.5</c:v>
                </c:pt>
                <c:pt idx="98">
                  <c:v>3119.14</c:v>
                </c:pt>
                <c:pt idx="99">
                  <c:v>8701.5499999999993</c:v>
                </c:pt>
                <c:pt idx="100">
                  <c:v>5604.54</c:v>
                </c:pt>
                <c:pt idx="101">
                  <c:v>1726.2</c:v>
                </c:pt>
                <c:pt idx="102">
                  <c:v>7903.11</c:v>
                </c:pt>
                <c:pt idx="103">
                  <c:v>3289.49</c:v>
                </c:pt>
                <c:pt idx="104">
                  <c:v>13724.93</c:v>
                </c:pt>
                <c:pt idx="105">
                  <c:v>4204.8</c:v>
                </c:pt>
                <c:pt idx="106">
                  <c:v>12565.6</c:v>
                </c:pt>
                <c:pt idx="107">
                  <c:v>3743.76</c:v>
                </c:pt>
                <c:pt idx="108">
                  <c:v>4985.18</c:v>
                </c:pt>
                <c:pt idx="109">
                  <c:v>7748.9400000000005</c:v>
                </c:pt>
                <c:pt idx="110">
                  <c:v>2932.8</c:v>
                </c:pt>
                <c:pt idx="111">
                  <c:v>7748.9400000000005</c:v>
                </c:pt>
                <c:pt idx="112">
                  <c:v>3979.9700000000003</c:v>
                </c:pt>
                <c:pt idx="113">
                  <c:v>5102.2299999999996</c:v>
                </c:pt>
                <c:pt idx="114">
                  <c:v>6793.01</c:v>
                </c:pt>
                <c:pt idx="115">
                  <c:v>3586.0099999999998</c:v>
                </c:pt>
                <c:pt idx="116">
                  <c:v>10602.69</c:v>
                </c:pt>
                <c:pt idx="117">
                  <c:v>6118.1</c:v>
                </c:pt>
                <c:pt idx="118">
                  <c:v>269.77999999999997</c:v>
                </c:pt>
                <c:pt idx="119">
                  <c:v>2197.7399999999998</c:v>
                </c:pt>
                <c:pt idx="120">
                  <c:v>12775.44</c:v>
                </c:pt>
                <c:pt idx="121">
                  <c:v>8907.2799999999988</c:v>
                </c:pt>
                <c:pt idx="122">
                  <c:v>5531.95</c:v>
                </c:pt>
                <c:pt idx="123">
                  <c:v>10326.530000000001</c:v>
                </c:pt>
                <c:pt idx="124">
                  <c:v>125.73</c:v>
                </c:pt>
                <c:pt idx="125">
                  <c:v>1786.82</c:v>
                </c:pt>
                <c:pt idx="126">
                  <c:v>2265.12</c:v>
                </c:pt>
                <c:pt idx="127">
                  <c:v>1178.24</c:v>
                </c:pt>
                <c:pt idx="128">
                  <c:v>4767.4599999999991</c:v>
                </c:pt>
                <c:pt idx="129">
                  <c:v>1979.51</c:v>
                </c:pt>
                <c:pt idx="130">
                  <c:v>2234.3200000000002</c:v>
                </c:pt>
                <c:pt idx="131">
                  <c:v>10146.580000000002</c:v>
                </c:pt>
                <c:pt idx="132">
                  <c:v>10688.36</c:v>
                </c:pt>
                <c:pt idx="133">
                  <c:v>17341.27</c:v>
                </c:pt>
                <c:pt idx="134">
                  <c:v>11431.619999999999</c:v>
                </c:pt>
                <c:pt idx="135">
                  <c:v>9244.94</c:v>
                </c:pt>
                <c:pt idx="136">
                  <c:v>13177.26</c:v>
                </c:pt>
                <c:pt idx="137">
                  <c:v>7190.8899999999994</c:v>
                </c:pt>
                <c:pt idx="138">
                  <c:v>7619.05</c:v>
                </c:pt>
                <c:pt idx="139">
                  <c:v>16849.46</c:v>
                </c:pt>
                <c:pt idx="140">
                  <c:v>10637.24</c:v>
                </c:pt>
                <c:pt idx="141">
                  <c:v>2081.67</c:v>
                </c:pt>
                <c:pt idx="142">
                  <c:v>11311.39</c:v>
                </c:pt>
                <c:pt idx="143">
                  <c:v>4916.67</c:v>
                </c:pt>
                <c:pt idx="144">
                  <c:v>3576.5899999999997</c:v>
                </c:pt>
                <c:pt idx="145">
                  <c:v>7913.1200000000008</c:v>
                </c:pt>
                <c:pt idx="146">
                  <c:v>15561.31</c:v>
                </c:pt>
                <c:pt idx="147">
                  <c:v>9932.619999999999</c:v>
                </c:pt>
                <c:pt idx="148">
                  <c:v>5705.02</c:v>
                </c:pt>
                <c:pt idx="149">
                  <c:v>492.34</c:v>
                </c:pt>
                <c:pt idx="150">
                  <c:v>3942.96</c:v>
                </c:pt>
                <c:pt idx="151">
                  <c:v>2650.83</c:v>
                </c:pt>
                <c:pt idx="152">
                  <c:v>3420.82</c:v>
                </c:pt>
                <c:pt idx="153">
                  <c:v>6475.6900000000005</c:v>
                </c:pt>
                <c:pt idx="154">
                  <c:v>9682.64</c:v>
                </c:pt>
                <c:pt idx="155">
                  <c:v>7042.42</c:v>
                </c:pt>
                <c:pt idx="156">
                  <c:v>5522.57</c:v>
                </c:pt>
                <c:pt idx="157">
                  <c:v>7036.8700000000008</c:v>
                </c:pt>
                <c:pt idx="158">
                  <c:v>3634.88</c:v>
                </c:pt>
                <c:pt idx="159">
                  <c:v>7164.86</c:v>
                </c:pt>
                <c:pt idx="160">
                  <c:v>12686.740000000002</c:v>
                </c:pt>
                <c:pt idx="161">
                  <c:v>6592.96</c:v>
                </c:pt>
                <c:pt idx="162">
                  <c:v>7389.04</c:v>
                </c:pt>
                <c:pt idx="163">
                  <c:v>6851.84</c:v>
                </c:pt>
                <c:pt idx="164">
                  <c:v>4522.63</c:v>
                </c:pt>
                <c:pt idx="165">
                  <c:v>6968.49</c:v>
                </c:pt>
                <c:pt idx="166">
                  <c:v>10523.490000000002</c:v>
                </c:pt>
                <c:pt idx="167">
                  <c:v>9654.5499999999993</c:v>
                </c:pt>
                <c:pt idx="168">
                  <c:v>11578.73</c:v>
                </c:pt>
                <c:pt idx="169">
                  <c:v>7314.9500000000007</c:v>
                </c:pt>
                <c:pt idx="170">
                  <c:v>4992.32</c:v>
                </c:pt>
                <c:pt idx="171">
                  <c:v>4191.21</c:v>
                </c:pt>
                <c:pt idx="172">
                  <c:v>1343.75</c:v>
                </c:pt>
                <c:pt idx="173">
                  <c:v>8740.7800000000007</c:v>
                </c:pt>
                <c:pt idx="174">
                  <c:v>9513.02</c:v>
                </c:pt>
                <c:pt idx="175">
                  <c:v>9435.36</c:v>
                </c:pt>
                <c:pt idx="176">
                  <c:v>8160.33</c:v>
                </c:pt>
                <c:pt idx="177">
                  <c:v>6925.87</c:v>
                </c:pt>
                <c:pt idx="178">
                  <c:v>12133.829999999998</c:v>
                </c:pt>
                <c:pt idx="179">
                  <c:v>5090.04</c:v>
                </c:pt>
                <c:pt idx="180">
                  <c:v>5685.87</c:v>
                </c:pt>
                <c:pt idx="181">
                  <c:v>6166.3099999999995</c:v>
                </c:pt>
                <c:pt idx="182">
                  <c:v>7525.2000000000007</c:v>
                </c:pt>
                <c:pt idx="183">
                  <c:v>2902.61</c:v>
                </c:pt>
                <c:pt idx="184">
                  <c:v>2924.2400000000002</c:v>
                </c:pt>
                <c:pt idx="185">
                  <c:v>4425.21</c:v>
                </c:pt>
                <c:pt idx="186">
                  <c:v>4338.21</c:v>
                </c:pt>
                <c:pt idx="187">
                  <c:v>6849.97</c:v>
                </c:pt>
                <c:pt idx="188">
                  <c:v>831.16</c:v>
                </c:pt>
                <c:pt idx="189">
                  <c:v>4272.6499999999996</c:v>
                </c:pt>
                <c:pt idx="190">
                  <c:v>5996.7599999999993</c:v>
                </c:pt>
                <c:pt idx="191">
                  <c:v>18536.12</c:v>
                </c:pt>
                <c:pt idx="192">
                  <c:v>10007.52</c:v>
                </c:pt>
                <c:pt idx="193">
                  <c:v>9316.61</c:v>
                </c:pt>
                <c:pt idx="194">
                  <c:v>6572.6399999999994</c:v>
                </c:pt>
                <c:pt idx="195">
                  <c:v>5974.39</c:v>
                </c:pt>
                <c:pt idx="196">
                  <c:v>9410.3000000000011</c:v>
                </c:pt>
                <c:pt idx="197">
                  <c:v>4000.27</c:v>
                </c:pt>
                <c:pt idx="198">
                  <c:v>9166.39</c:v>
                </c:pt>
                <c:pt idx="199">
                  <c:v>14329.009999999998</c:v>
                </c:pt>
                <c:pt idx="200">
                  <c:v>11559.6</c:v>
                </c:pt>
                <c:pt idx="201">
                  <c:v>4880.6499999999996</c:v>
                </c:pt>
                <c:pt idx="202">
                  <c:v>4235.71</c:v>
                </c:pt>
                <c:pt idx="203">
                  <c:v>8272.7000000000007</c:v>
                </c:pt>
                <c:pt idx="204">
                  <c:v>12034.02</c:v>
                </c:pt>
                <c:pt idx="205">
                  <c:v>3623</c:v>
                </c:pt>
                <c:pt idx="206">
                  <c:v>7388.9800000000005</c:v>
                </c:pt>
                <c:pt idx="207">
                  <c:v>7347.52</c:v>
                </c:pt>
                <c:pt idx="208">
                  <c:v>1287.3399999999999</c:v>
                </c:pt>
                <c:pt idx="209">
                  <c:v>4970.3600000000006</c:v>
                </c:pt>
                <c:pt idx="210">
                  <c:v>11207.03</c:v>
                </c:pt>
                <c:pt idx="211">
                  <c:v>4874.18</c:v>
                </c:pt>
                <c:pt idx="212">
                  <c:v>5855.98</c:v>
                </c:pt>
                <c:pt idx="213">
                  <c:v>10011</c:v>
                </c:pt>
                <c:pt idx="214">
                  <c:v>11496.54</c:v>
                </c:pt>
                <c:pt idx="215">
                  <c:v>2295.6799999999998</c:v>
                </c:pt>
                <c:pt idx="216">
                  <c:v>4678.29</c:v>
                </c:pt>
                <c:pt idx="217">
                  <c:v>5865.62</c:v>
                </c:pt>
                <c:pt idx="218">
                  <c:v>13845.5</c:v>
                </c:pt>
                <c:pt idx="219">
                  <c:v>20369.670000000002</c:v>
                </c:pt>
                <c:pt idx="220">
                  <c:v>19762.68</c:v>
                </c:pt>
                <c:pt idx="221">
                  <c:v>10643.990000000002</c:v>
                </c:pt>
                <c:pt idx="222">
                  <c:v>1824.52</c:v>
                </c:pt>
                <c:pt idx="223">
                  <c:v>14116.55</c:v>
                </c:pt>
                <c:pt idx="224">
                  <c:v>8228.93</c:v>
                </c:pt>
                <c:pt idx="225">
                  <c:v>5720.85</c:v>
                </c:pt>
                <c:pt idx="226">
                  <c:v>7153.35</c:v>
                </c:pt>
                <c:pt idx="227">
                  <c:v>7237.74</c:v>
                </c:pt>
                <c:pt idx="228">
                  <c:v>5096.26</c:v>
                </c:pt>
                <c:pt idx="229">
                  <c:v>9240.2999999999993</c:v>
                </c:pt>
                <c:pt idx="230">
                  <c:v>2344.8000000000002</c:v>
                </c:pt>
                <c:pt idx="231">
                  <c:v>9693.2300000000014</c:v>
                </c:pt>
                <c:pt idx="232">
                  <c:v>18252.079999999998</c:v>
                </c:pt>
                <c:pt idx="233">
                  <c:v>11130.69</c:v>
                </c:pt>
                <c:pt idx="234">
                  <c:v>2341.9900000000002</c:v>
                </c:pt>
                <c:pt idx="235">
                  <c:v>8685.82</c:v>
                </c:pt>
                <c:pt idx="236">
                  <c:v>3207.77</c:v>
                </c:pt>
                <c:pt idx="237">
                  <c:v>659.03</c:v>
                </c:pt>
                <c:pt idx="238">
                  <c:v>1118.5</c:v>
                </c:pt>
                <c:pt idx="239">
                  <c:v>1829.19</c:v>
                </c:pt>
                <c:pt idx="240">
                  <c:v>1040.6299999999999</c:v>
                </c:pt>
                <c:pt idx="241">
                  <c:v>5324.66</c:v>
                </c:pt>
                <c:pt idx="242">
                  <c:v>5881.5</c:v>
                </c:pt>
                <c:pt idx="243">
                  <c:v>9217.26</c:v>
                </c:pt>
                <c:pt idx="244">
                  <c:v>8532.3500000000022</c:v>
                </c:pt>
                <c:pt idx="245">
                  <c:v>2100.46</c:v>
                </c:pt>
                <c:pt idx="246">
                  <c:v>3953.5</c:v>
                </c:pt>
                <c:pt idx="247">
                  <c:v>6911.25</c:v>
                </c:pt>
                <c:pt idx="248">
                  <c:v>11998.48</c:v>
                </c:pt>
                <c:pt idx="249">
                  <c:v>15943.699999999999</c:v>
                </c:pt>
                <c:pt idx="250">
                  <c:v>9326.7000000000007</c:v>
                </c:pt>
                <c:pt idx="251">
                  <c:v>3363.2200000000003</c:v>
                </c:pt>
                <c:pt idx="252">
                  <c:v>4625.82</c:v>
                </c:pt>
                <c:pt idx="253">
                  <c:v>7262.3200000000006</c:v>
                </c:pt>
                <c:pt idx="254">
                  <c:v>974.52</c:v>
                </c:pt>
                <c:pt idx="255">
                  <c:v>14596.16</c:v>
                </c:pt>
                <c:pt idx="256">
                  <c:v>2053.85</c:v>
                </c:pt>
                <c:pt idx="257">
                  <c:v>5144.1099999999997</c:v>
                </c:pt>
                <c:pt idx="258">
                  <c:v>2120.89</c:v>
                </c:pt>
                <c:pt idx="259">
                  <c:v>12801.859999999999</c:v>
                </c:pt>
                <c:pt idx="260">
                  <c:v>5480.96</c:v>
                </c:pt>
                <c:pt idx="261">
                  <c:v>4597.0199999999995</c:v>
                </c:pt>
                <c:pt idx="262">
                  <c:v>4586.12</c:v>
                </c:pt>
                <c:pt idx="263">
                  <c:v>1177.3399999999999</c:v>
                </c:pt>
                <c:pt idx="264">
                  <c:v>12973.869999999999</c:v>
                </c:pt>
                <c:pt idx="265">
                  <c:v>18236.43</c:v>
                </c:pt>
                <c:pt idx="266">
                  <c:v>14499.74</c:v>
                </c:pt>
                <c:pt idx="267">
                  <c:v>14293.34</c:v>
                </c:pt>
                <c:pt idx="268">
                  <c:v>4251.6499999999996</c:v>
                </c:pt>
                <c:pt idx="269">
                  <c:v>5284.64</c:v>
                </c:pt>
                <c:pt idx="270">
                  <c:v>6040.04</c:v>
                </c:pt>
                <c:pt idx="271">
                  <c:v>9033.26</c:v>
                </c:pt>
                <c:pt idx="272">
                  <c:v>746.53</c:v>
                </c:pt>
                <c:pt idx="273">
                  <c:v>8820.44</c:v>
                </c:pt>
                <c:pt idx="274">
                  <c:v>9375.2800000000007</c:v>
                </c:pt>
                <c:pt idx="275">
                  <c:v>5087.59</c:v>
                </c:pt>
                <c:pt idx="276">
                  <c:v>1994.17</c:v>
                </c:pt>
                <c:pt idx="277">
                  <c:v>6101.98</c:v>
                </c:pt>
                <c:pt idx="278">
                  <c:v>5449.13</c:v>
                </c:pt>
                <c:pt idx="279">
                  <c:v>9327.2699999999986</c:v>
                </c:pt>
                <c:pt idx="280">
                  <c:v>1401.1</c:v>
                </c:pt>
                <c:pt idx="281">
                  <c:v>6435.62</c:v>
                </c:pt>
                <c:pt idx="282">
                  <c:v>9279.91</c:v>
                </c:pt>
                <c:pt idx="283">
                  <c:v>23908.66</c:v>
                </c:pt>
                <c:pt idx="284">
                  <c:v>4380.74</c:v>
                </c:pt>
                <c:pt idx="285">
                  <c:v>10645.03</c:v>
                </c:pt>
                <c:pt idx="286">
                  <c:v>8650</c:v>
                </c:pt>
                <c:pt idx="287">
                  <c:v>6829.98</c:v>
                </c:pt>
                <c:pt idx="288">
                  <c:v>14287.259999999998</c:v>
                </c:pt>
                <c:pt idx="289">
                  <c:v>9200.52</c:v>
                </c:pt>
                <c:pt idx="290">
                  <c:v>1686.04</c:v>
                </c:pt>
                <c:pt idx="291">
                  <c:v>1726.67</c:v>
                </c:pt>
                <c:pt idx="292">
                  <c:v>286.02</c:v>
                </c:pt>
                <c:pt idx="293">
                  <c:v>8555.76</c:v>
                </c:pt>
                <c:pt idx="294">
                  <c:v>5955.38</c:v>
                </c:pt>
                <c:pt idx="295">
                  <c:v>12322.46</c:v>
                </c:pt>
                <c:pt idx="296">
                  <c:v>14508.78</c:v>
                </c:pt>
                <c:pt idx="297">
                  <c:v>4426</c:v>
                </c:pt>
                <c:pt idx="298">
                  <c:v>15364.929999999998</c:v>
                </c:pt>
                <c:pt idx="299">
                  <c:v>5123.6899999999996</c:v>
                </c:pt>
                <c:pt idx="300">
                  <c:v>1863.1499999999999</c:v>
                </c:pt>
                <c:pt idx="301">
                  <c:v>2215.41</c:v>
                </c:pt>
                <c:pt idx="302">
                  <c:v>3128.73</c:v>
                </c:pt>
                <c:pt idx="303">
                  <c:v>8861.7799999999988</c:v>
                </c:pt>
                <c:pt idx="304">
                  <c:v>10598.19</c:v>
                </c:pt>
                <c:pt idx="305">
                  <c:v>2022.8400000000001</c:v>
                </c:pt>
                <c:pt idx="306">
                  <c:v>10853.619999999999</c:v>
                </c:pt>
                <c:pt idx="307">
                  <c:v>12200.960000000001</c:v>
                </c:pt>
                <c:pt idx="308">
                  <c:v>12557.79</c:v>
                </c:pt>
                <c:pt idx="309">
                  <c:v>4354.8099999999995</c:v>
                </c:pt>
                <c:pt idx="310">
                  <c:v>9446.1699999999983</c:v>
                </c:pt>
                <c:pt idx="311">
                  <c:v>8586.2000000000007</c:v>
                </c:pt>
                <c:pt idx="312">
                  <c:v>6961.88</c:v>
                </c:pt>
                <c:pt idx="313">
                  <c:v>4943.2299999999996</c:v>
                </c:pt>
                <c:pt idx="314">
                  <c:v>3887.0499999999997</c:v>
                </c:pt>
                <c:pt idx="315">
                  <c:v>5536.4699999999993</c:v>
                </c:pt>
                <c:pt idx="316">
                  <c:v>7194.52</c:v>
                </c:pt>
                <c:pt idx="317">
                  <c:v>6851.67</c:v>
                </c:pt>
                <c:pt idx="318">
                  <c:v>15613.47</c:v>
                </c:pt>
                <c:pt idx="319">
                  <c:v>13510.449999999999</c:v>
                </c:pt>
                <c:pt idx="320">
                  <c:v>1866.13</c:v>
                </c:pt>
                <c:pt idx="321">
                  <c:v>8380.09</c:v>
                </c:pt>
                <c:pt idx="322">
                  <c:v>3707.19</c:v>
                </c:pt>
                <c:pt idx="323">
                  <c:v>4200.72</c:v>
                </c:pt>
                <c:pt idx="324">
                  <c:v>13661.2</c:v>
                </c:pt>
                <c:pt idx="325">
                  <c:v>6923.2099999999991</c:v>
                </c:pt>
                <c:pt idx="326">
                  <c:v>7391.04</c:v>
                </c:pt>
                <c:pt idx="327">
                  <c:v>13661.22</c:v>
                </c:pt>
                <c:pt idx="328">
                  <c:v>6935.71</c:v>
                </c:pt>
                <c:pt idx="329">
                  <c:v>10809.61</c:v>
                </c:pt>
                <c:pt idx="330">
                  <c:v>10118.9</c:v>
                </c:pt>
                <c:pt idx="331">
                  <c:v>2899.91</c:v>
                </c:pt>
                <c:pt idx="332">
                  <c:v>6897.8799999999992</c:v>
                </c:pt>
                <c:pt idx="333">
                  <c:v>947.22</c:v>
                </c:pt>
                <c:pt idx="334">
                  <c:v>2353.14</c:v>
                </c:pt>
                <c:pt idx="335">
                  <c:v>4656.21</c:v>
                </c:pt>
                <c:pt idx="336">
                  <c:v>11993.06</c:v>
                </c:pt>
                <c:pt idx="337">
                  <c:v>5416.78</c:v>
                </c:pt>
                <c:pt idx="338">
                  <c:v>867.59999999999991</c:v>
                </c:pt>
                <c:pt idx="339">
                  <c:v>1767.66</c:v>
                </c:pt>
                <c:pt idx="340">
                  <c:v>5641.3799999999992</c:v>
                </c:pt>
                <c:pt idx="341">
                  <c:v>4943.6899999999996</c:v>
                </c:pt>
                <c:pt idx="342">
                  <c:v>7721.36</c:v>
                </c:pt>
                <c:pt idx="343">
                  <c:v>5380.9500000000007</c:v>
                </c:pt>
                <c:pt idx="344">
                  <c:v>5015.82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7-442C-8A29-DDCB9DC1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129855"/>
        <c:axId val="426132767"/>
      </c:lineChart>
      <c:catAx>
        <c:axId val="42612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32767"/>
        <c:crosses val="autoZero"/>
        <c:auto val="1"/>
        <c:lblAlgn val="ctr"/>
        <c:lblOffset val="100"/>
        <c:noMultiLvlLbl val="0"/>
      </c:catAx>
      <c:valAx>
        <c:axId val="4261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n.xlsx]TOP Customer 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5 Customers by Sales</a:t>
            </a:r>
          </a:p>
        </c:rich>
      </c:tx>
      <c:layout>
        <c:manualLayout>
          <c:xMode val="edge"/>
          <c:yMode val="edge"/>
          <c:x val="0.29748820129878134"/>
          <c:y val="0.16509782984970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Customer '!$A$4:$A$9</c:f>
              <c:strCache>
                <c:ptCount val="5"/>
                <c:pt idx="0">
                  <c:v>C012</c:v>
                </c:pt>
                <c:pt idx="1">
                  <c:v>C029</c:v>
                </c:pt>
                <c:pt idx="2">
                  <c:v>C050</c:v>
                </c:pt>
                <c:pt idx="3">
                  <c:v>C096</c:v>
                </c:pt>
                <c:pt idx="4">
                  <c:v>C098</c:v>
                </c:pt>
              </c:strCache>
            </c:strRef>
          </c:cat>
          <c:val>
            <c:numRef>
              <c:f>'TOP Customer '!$B$4:$B$9</c:f>
              <c:numCache>
                <c:formatCode>General</c:formatCode>
                <c:ptCount val="5"/>
                <c:pt idx="0">
                  <c:v>47552.3</c:v>
                </c:pt>
                <c:pt idx="1">
                  <c:v>41860.480000000003</c:v>
                </c:pt>
                <c:pt idx="2">
                  <c:v>42966.85</c:v>
                </c:pt>
                <c:pt idx="3">
                  <c:v>44098.63</c:v>
                </c:pt>
                <c:pt idx="4">
                  <c:v>44746.17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1-47CA-A910-6B4159F65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06068639"/>
        <c:axId val="806065311"/>
      </c:barChart>
      <c:catAx>
        <c:axId val="80606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65311"/>
        <c:crosses val="autoZero"/>
        <c:auto val="1"/>
        <c:lblAlgn val="ctr"/>
        <c:lblOffset val="100"/>
        <c:noMultiLvlLbl val="0"/>
      </c:catAx>
      <c:valAx>
        <c:axId val="80606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n.xlsx]Profit By Region!PivotTable2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Region'!$B$5:$B$8</c:f>
              <c:numCache>
                <c:formatCode>General</c:formatCode>
                <c:ptCount val="3"/>
                <c:pt idx="0">
                  <c:v>56763.750000000022</c:v>
                </c:pt>
                <c:pt idx="1">
                  <c:v>32488.719999999998</c:v>
                </c:pt>
                <c:pt idx="2">
                  <c:v>35347.390000000014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4-47E1-90DD-7A662B1367C9}"/>
            </c:ext>
          </c:extLst>
        </c:ser>
        <c:ser>
          <c:idx val="1"/>
          <c:order val="1"/>
          <c:tx>
            <c:strRef>
              <c:f>'Profit By Region'!$C$3:$C$4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Region'!$C$5:$C$8</c:f>
              <c:numCache>
                <c:formatCode>General</c:formatCode>
                <c:ptCount val="3"/>
                <c:pt idx="0">
                  <c:v>42875.909999999989</c:v>
                </c:pt>
                <c:pt idx="1">
                  <c:v>37640.130000000005</c:v>
                </c:pt>
                <c:pt idx="2">
                  <c:v>35835.330000000009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4-47E1-90DD-7A662B1367C9}"/>
            </c:ext>
          </c:extLst>
        </c:ser>
        <c:ser>
          <c:idx val="2"/>
          <c:order val="2"/>
          <c:tx>
            <c:strRef>
              <c:f>'Profit By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Region'!$D$5:$D$8</c:f>
              <c:numCache>
                <c:formatCode>General</c:formatCode>
                <c:ptCount val="3"/>
                <c:pt idx="0">
                  <c:v>52594.910000000011</c:v>
                </c:pt>
                <c:pt idx="1">
                  <c:v>45700.68</c:v>
                </c:pt>
                <c:pt idx="2">
                  <c:v>55386.2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4-47E1-90DD-7A662B1367C9}"/>
            </c:ext>
          </c:extLst>
        </c:ser>
        <c:ser>
          <c:idx val="3"/>
          <c:order val="3"/>
          <c:tx>
            <c:strRef>
              <c:f>'Profit By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'Profit By Region'!$A$5:$A$8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Region'!$E$5:$E$8</c:f>
              <c:numCache>
                <c:formatCode>General</c:formatCode>
                <c:ptCount val="3"/>
                <c:pt idx="0">
                  <c:v>36622.709999999992</c:v>
                </c:pt>
                <c:pt idx="1">
                  <c:v>35182.589999999982</c:v>
                </c:pt>
                <c:pt idx="2">
                  <c:v>25889.200000000012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4-47E1-90DD-7A662B13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53972415"/>
        <c:axId val="1853969087"/>
      </c:barChart>
      <c:catAx>
        <c:axId val="18539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69087"/>
        <c:crosses val="autoZero"/>
        <c:auto val="1"/>
        <c:lblAlgn val="ctr"/>
        <c:lblOffset val="100"/>
        <c:noMultiLvlLbl val="0"/>
      </c:catAx>
      <c:valAx>
        <c:axId val="18539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7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Dashboard_Task2 n.xlsx]Sales By Region!PivotTable1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219399.00000000003</c:v>
                </c:pt>
                <c:pt idx="1">
                  <c:v>167297.08000000005</c:v>
                </c:pt>
                <c:pt idx="2">
                  <c:v>243515.40000000014</c:v>
                </c:pt>
                <c:pt idx="3">
                  <c:v>207678.85000000006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D-4476-A29F-F1A5E04EBE46}"/>
            </c:ext>
          </c:extLst>
        </c:ser>
        <c:ser>
          <c:idx val="1"/>
          <c:order val="1"/>
          <c:tx>
            <c:strRef>
              <c:f>'Sales By Region'!$C$3:$C$4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Region'!$C$5:$C$9</c:f>
              <c:numCache>
                <c:formatCode>General</c:formatCode>
                <c:ptCount val="4"/>
                <c:pt idx="0">
                  <c:v>194510.34000000003</c:v>
                </c:pt>
                <c:pt idx="1">
                  <c:v>136412.68000000002</c:v>
                </c:pt>
                <c:pt idx="2">
                  <c:v>137247.09999999995</c:v>
                </c:pt>
                <c:pt idx="3">
                  <c:v>113151.77999999994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1D-4476-A29F-F1A5E04EBE46}"/>
            </c:ext>
          </c:extLst>
        </c:ser>
        <c:ser>
          <c:idx val="2"/>
          <c:order val="2"/>
          <c:tx>
            <c:strRef>
              <c:f>'Sales By Region'!$D$3:$D$4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Region'!$D$5:$D$9</c:f>
              <c:numCache>
                <c:formatCode>General</c:formatCode>
                <c:ptCount val="4"/>
                <c:pt idx="0">
                  <c:v>207780.94999999998</c:v>
                </c:pt>
                <c:pt idx="1">
                  <c:v>262074.28</c:v>
                </c:pt>
                <c:pt idx="2">
                  <c:v>389312.9499999999</c:v>
                </c:pt>
                <c:pt idx="3">
                  <c:v>199237.34999999998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1D-4476-A29F-F1A5E04EB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2948031"/>
        <c:axId val="1868779391"/>
      </c:barChart>
      <c:catAx>
        <c:axId val="18029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779391"/>
        <c:crosses val="autoZero"/>
        <c:auto val="1"/>
        <c:lblAlgn val="ctr"/>
        <c:lblOffset val="100"/>
        <c:noMultiLvlLbl val="0"/>
      </c:catAx>
      <c:valAx>
        <c:axId val="18687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9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128587</xdr:rowOff>
    </xdr:from>
    <xdr:to>
      <xdr:col>12</xdr:col>
      <xdr:colOff>304800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73B73-37FC-4487-B53A-2E21BAC93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23812</xdr:rowOff>
    </xdr:from>
    <xdr:to>
      <xdr:col>13</xdr:col>
      <xdr:colOff>180975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CD90B-2E84-4794-BB54-37568FF26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28452</xdr:rowOff>
    </xdr:from>
    <xdr:to>
      <xdr:col>7</xdr:col>
      <xdr:colOff>377289</xdr:colOff>
      <xdr:row>14</xdr:row>
      <xdr:rowOff>73276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73985-C173-4FBC-89A4-290F74286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535874</xdr:colOff>
      <xdr:row>2</xdr:row>
      <xdr:rowOff>72255</xdr:rowOff>
    </xdr:from>
    <xdr:to>
      <xdr:col>17</xdr:col>
      <xdr:colOff>437458</xdr:colOff>
      <xdr:row>14</xdr:row>
      <xdr:rowOff>110355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623193C-F0BE-49C2-8EA2-87C78290A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581397</xdr:colOff>
      <xdr:row>2</xdr:row>
      <xdr:rowOff>27214</xdr:rowOff>
    </xdr:from>
    <xdr:to>
      <xdr:col>25</xdr:col>
      <xdr:colOff>421822</xdr:colOff>
      <xdr:row>14</xdr:row>
      <xdr:rowOff>146041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49633BC-DE10-4B08-82AC-590B65DA0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136072</xdr:colOff>
      <xdr:row>15</xdr:row>
      <xdr:rowOff>81642</xdr:rowOff>
    </xdr:from>
    <xdr:to>
      <xdr:col>14</xdr:col>
      <xdr:colOff>269421</xdr:colOff>
      <xdr:row>28</xdr:row>
      <xdr:rowOff>67355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CB722C-B5B4-48F5-8167-6BE6CF08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449034</xdr:colOff>
      <xdr:row>15</xdr:row>
      <xdr:rowOff>95250</xdr:rowOff>
    </xdr:from>
    <xdr:to>
      <xdr:col>22</xdr:col>
      <xdr:colOff>312963</xdr:colOff>
      <xdr:row>28</xdr:row>
      <xdr:rowOff>81642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CD7F74-5F1D-4715-A04E-EE4719C6D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SK%202/Custom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Customer_ID</v>
          </cell>
          <cell r="B1" t="str">
            <v>Customer_Name</v>
          </cell>
          <cell r="C1" t="str">
            <v>Region</v>
          </cell>
          <cell r="D1" t="str">
            <v>Segment</v>
          </cell>
        </row>
        <row r="2">
          <cell r="A2" t="str">
            <v>C001</v>
          </cell>
          <cell r="B2" t="str">
            <v>Customer 1</v>
          </cell>
          <cell r="C2" t="str">
            <v>North</v>
          </cell>
          <cell r="D2" t="str">
            <v>Consumer</v>
          </cell>
        </row>
        <row r="3">
          <cell r="A3" t="str">
            <v>C002</v>
          </cell>
          <cell r="B3" t="str">
            <v>Customer 2</v>
          </cell>
          <cell r="C3" t="str">
            <v>East</v>
          </cell>
          <cell r="D3" t="str">
            <v>Consumer</v>
          </cell>
        </row>
        <row r="4">
          <cell r="A4" t="str">
            <v>C003</v>
          </cell>
          <cell r="B4" t="str">
            <v>Customer 3</v>
          </cell>
          <cell r="C4" t="str">
            <v>South</v>
          </cell>
          <cell r="D4" t="str">
            <v>Consumer</v>
          </cell>
        </row>
        <row r="5">
          <cell r="A5" t="str">
            <v>C004</v>
          </cell>
          <cell r="B5" t="str">
            <v>Customer 4</v>
          </cell>
          <cell r="C5" t="str">
            <v>North</v>
          </cell>
          <cell r="D5" t="str">
            <v>Home Office</v>
          </cell>
        </row>
        <row r="6">
          <cell r="A6" t="str">
            <v>C005</v>
          </cell>
          <cell r="B6" t="str">
            <v>Customer 5</v>
          </cell>
          <cell r="C6" t="str">
            <v>North</v>
          </cell>
          <cell r="D6" t="str">
            <v>Home Office</v>
          </cell>
        </row>
        <row r="7">
          <cell r="A7" t="str">
            <v>C006</v>
          </cell>
          <cell r="B7" t="str">
            <v>Customer 6</v>
          </cell>
          <cell r="C7" t="str">
            <v>West</v>
          </cell>
          <cell r="D7" t="str">
            <v>Consumer</v>
          </cell>
        </row>
        <row r="8">
          <cell r="A8" t="str">
            <v>C007</v>
          </cell>
          <cell r="B8" t="str">
            <v>Customer 7</v>
          </cell>
          <cell r="C8" t="str">
            <v>North</v>
          </cell>
          <cell r="D8" t="str">
            <v>Consumer</v>
          </cell>
        </row>
        <row r="9">
          <cell r="A9" t="str">
            <v>C008</v>
          </cell>
          <cell r="B9" t="str">
            <v>Customer 8</v>
          </cell>
          <cell r="C9" t="str">
            <v>South</v>
          </cell>
          <cell r="D9" t="str">
            <v>Consumer</v>
          </cell>
        </row>
        <row r="10">
          <cell r="A10" t="str">
            <v>C009</v>
          </cell>
          <cell r="B10" t="str">
            <v>Customer 9</v>
          </cell>
          <cell r="C10" t="str">
            <v>North</v>
          </cell>
          <cell r="D10" t="str">
            <v>Home Office</v>
          </cell>
        </row>
        <row r="11">
          <cell r="A11" t="str">
            <v>C010</v>
          </cell>
          <cell r="B11" t="str">
            <v>Customer 10</v>
          </cell>
          <cell r="C11" t="str">
            <v>South</v>
          </cell>
          <cell r="D11" t="str">
            <v>Home Office</v>
          </cell>
        </row>
        <row r="12">
          <cell r="A12" t="str">
            <v>C011</v>
          </cell>
          <cell r="B12" t="str">
            <v>Customer 11</v>
          </cell>
          <cell r="C12" t="str">
            <v>West</v>
          </cell>
          <cell r="D12" t="str">
            <v>Consumer</v>
          </cell>
        </row>
        <row r="13">
          <cell r="A13" t="str">
            <v>C012</v>
          </cell>
          <cell r="B13" t="str">
            <v>Customer 12</v>
          </cell>
          <cell r="C13" t="str">
            <v>West</v>
          </cell>
          <cell r="D13" t="str">
            <v>Home Office</v>
          </cell>
        </row>
        <row r="14">
          <cell r="A14" t="str">
            <v>C013</v>
          </cell>
          <cell r="B14" t="str">
            <v>Customer 13</v>
          </cell>
          <cell r="C14" t="str">
            <v>East</v>
          </cell>
          <cell r="D14" t="str">
            <v>Consumer</v>
          </cell>
        </row>
        <row r="15">
          <cell r="A15" t="str">
            <v>C014</v>
          </cell>
          <cell r="B15" t="str">
            <v>Customer 14</v>
          </cell>
          <cell r="C15" t="str">
            <v>South</v>
          </cell>
          <cell r="D15" t="str">
            <v>Home Office</v>
          </cell>
        </row>
        <row r="16">
          <cell r="A16" t="str">
            <v>C015</v>
          </cell>
          <cell r="B16" t="str">
            <v>Customer 15</v>
          </cell>
          <cell r="C16" t="str">
            <v>West</v>
          </cell>
          <cell r="D16" t="str">
            <v>Corporate</v>
          </cell>
        </row>
        <row r="17">
          <cell r="A17" t="str">
            <v>C016</v>
          </cell>
          <cell r="B17" t="str">
            <v>Customer 16</v>
          </cell>
          <cell r="C17" t="str">
            <v>East</v>
          </cell>
          <cell r="D17" t="str">
            <v>Consumer</v>
          </cell>
        </row>
        <row r="18">
          <cell r="A18" t="str">
            <v>C017</v>
          </cell>
          <cell r="B18" t="str">
            <v>Customer 17</v>
          </cell>
          <cell r="C18" t="str">
            <v>South</v>
          </cell>
          <cell r="D18" t="str">
            <v>Corporate</v>
          </cell>
        </row>
        <row r="19">
          <cell r="A19" t="str">
            <v>C018</v>
          </cell>
          <cell r="B19" t="str">
            <v>Customer 18</v>
          </cell>
          <cell r="C19" t="str">
            <v>North</v>
          </cell>
          <cell r="D19" t="str">
            <v>Consumer</v>
          </cell>
        </row>
        <row r="20">
          <cell r="A20" t="str">
            <v>C019</v>
          </cell>
          <cell r="B20" t="str">
            <v>Customer 19</v>
          </cell>
          <cell r="C20" t="str">
            <v>West</v>
          </cell>
          <cell r="D20" t="str">
            <v>Consumer</v>
          </cell>
        </row>
        <row r="21">
          <cell r="A21" t="str">
            <v>C020</v>
          </cell>
          <cell r="B21" t="str">
            <v>Customer 20</v>
          </cell>
          <cell r="C21" t="str">
            <v>East</v>
          </cell>
          <cell r="D21" t="str">
            <v>Corporate</v>
          </cell>
        </row>
        <row r="22">
          <cell r="A22" t="str">
            <v>C021</v>
          </cell>
          <cell r="B22" t="str">
            <v>Customer 21</v>
          </cell>
          <cell r="C22" t="str">
            <v>East</v>
          </cell>
          <cell r="D22" t="str">
            <v>Consumer</v>
          </cell>
        </row>
        <row r="23">
          <cell r="A23" t="str">
            <v>C022</v>
          </cell>
          <cell r="B23" t="str">
            <v>Customer 22</v>
          </cell>
          <cell r="C23" t="str">
            <v>West</v>
          </cell>
          <cell r="D23" t="str">
            <v>Home Office</v>
          </cell>
        </row>
        <row r="24">
          <cell r="A24" t="str">
            <v>C023</v>
          </cell>
          <cell r="B24" t="str">
            <v>Customer 23</v>
          </cell>
          <cell r="C24" t="str">
            <v>North</v>
          </cell>
          <cell r="D24" t="str">
            <v>Corporate</v>
          </cell>
        </row>
        <row r="25">
          <cell r="A25" t="str">
            <v>C024</v>
          </cell>
          <cell r="B25" t="str">
            <v>Customer 24</v>
          </cell>
          <cell r="C25" t="str">
            <v>North</v>
          </cell>
          <cell r="D25" t="str">
            <v>Home Office</v>
          </cell>
        </row>
        <row r="26">
          <cell r="A26" t="str">
            <v>C025</v>
          </cell>
          <cell r="B26" t="str">
            <v>Customer 25</v>
          </cell>
          <cell r="C26" t="str">
            <v>East</v>
          </cell>
          <cell r="D26" t="str">
            <v>Home Office</v>
          </cell>
        </row>
        <row r="27">
          <cell r="A27" t="str">
            <v>C026</v>
          </cell>
          <cell r="B27" t="str">
            <v>Customer 26</v>
          </cell>
          <cell r="C27" t="str">
            <v>East</v>
          </cell>
          <cell r="D27" t="str">
            <v>Home Office</v>
          </cell>
        </row>
        <row r="28">
          <cell r="A28" t="str">
            <v>C027</v>
          </cell>
          <cell r="B28" t="str">
            <v>Customer 27</v>
          </cell>
          <cell r="C28" t="str">
            <v>South</v>
          </cell>
          <cell r="D28" t="str">
            <v>Home Office</v>
          </cell>
        </row>
        <row r="29">
          <cell r="A29" t="str">
            <v>C028</v>
          </cell>
          <cell r="B29" t="str">
            <v>Customer 28</v>
          </cell>
          <cell r="C29" t="str">
            <v>North</v>
          </cell>
          <cell r="D29" t="str">
            <v>Consumer</v>
          </cell>
        </row>
        <row r="30">
          <cell r="A30" t="str">
            <v>C029</v>
          </cell>
          <cell r="B30" t="str">
            <v>Customer 29</v>
          </cell>
          <cell r="C30" t="str">
            <v>South</v>
          </cell>
          <cell r="D30" t="str">
            <v>Corporate</v>
          </cell>
        </row>
        <row r="31">
          <cell r="A31" t="str">
            <v>C030</v>
          </cell>
          <cell r="B31" t="str">
            <v>Customer 30</v>
          </cell>
          <cell r="C31" t="str">
            <v>North</v>
          </cell>
          <cell r="D31" t="str">
            <v>Consumer</v>
          </cell>
        </row>
        <row r="32">
          <cell r="A32" t="str">
            <v>C031</v>
          </cell>
          <cell r="B32" t="str">
            <v>Customer 31</v>
          </cell>
          <cell r="C32" t="str">
            <v>North</v>
          </cell>
          <cell r="D32" t="str">
            <v>Corporate</v>
          </cell>
        </row>
        <row r="33">
          <cell r="A33" t="str">
            <v>C032</v>
          </cell>
          <cell r="B33" t="str">
            <v>Customer 32</v>
          </cell>
          <cell r="C33" t="str">
            <v>East</v>
          </cell>
          <cell r="D33" t="str">
            <v>Corporate</v>
          </cell>
        </row>
        <row r="34">
          <cell r="A34" t="str">
            <v>C033</v>
          </cell>
          <cell r="B34" t="str">
            <v>Customer 33</v>
          </cell>
          <cell r="C34" t="str">
            <v>East</v>
          </cell>
          <cell r="D34" t="str">
            <v>Consumer</v>
          </cell>
        </row>
        <row r="35">
          <cell r="A35" t="str">
            <v>C034</v>
          </cell>
          <cell r="B35" t="str">
            <v>Customer 34</v>
          </cell>
          <cell r="C35" t="str">
            <v>East</v>
          </cell>
          <cell r="D35" t="str">
            <v>Corporate</v>
          </cell>
        </row>
        <row r="36">
          <cell r="A36" t="str">
            <v>C035</v>
          </cell>
          <cell r="B36" t="str">
            <v>Customer 35</v>
          </cell>
          <cell r="C36" t="str">
            <v>South</v>
          </cell>
          <cell r="D36" t="str">
            <v>Home Office</v>
          </cell>
        </row>
        <row r="37">
          <cell r="A37" t="str">
            <v>C036</v>
          </cell>
          <cell r="B37" t="str">
            <v>Customer 36</v>
          </cell>
          <cell r="C37" t="str">
            <v>East</v>
          </cell>
          <cell r="D37" t="str">
            <v>Home Office</v>
          </cell>
        </row>
        <row r="38">
          <cell r="A38" t="str">
            <v>C037</v>
          </cell>
          <cell r="B38" t="str">
            <v>Customer 37</v>
          </cell>
          <cell r="C38" t="str">
            <v>North</v>
          </cell>
          <cell r="D38" t="str">
            <v>Home Office</v>
          </cell>
        </row>
        <row r="39">
          <cell r="A39" t="str">
            <v>C038</v>
          </cell>
          <cell r="B39" t="str">
            <v>Customer 38</v>
          </cell>
          <cell r="C39" t="str">
            <v>South</v>
          </cell>
          <cell r="D39" t="str">
            <v>Home Office</v>
          </cell>
        </row>
        <row r="40">
          <cell r="A40" t="str">
            <v>C039</v>
          </cell>
          <cell r="B40" t="str">
            <v>Customer 39</v>
          </cell>
          <cell r="C40" t="str">
            <v>South</v>
          </cell>
          <cell r="D40" t="str">
            <v>Consumer</v>
          </cell>
        </row>
        <row r="41">
          <cell r="A41" t="str">
            <v>C040</v>
          </cell>
          <cell r="B41" t="str">
            <v>Customer 40</v>
          </cell>
          <cell r="C41" t="str">
            <v>West</v>
          </cell>
          <cell r="D41" t="str">
            <v>Corporate</v>
          </cell>
        </row>
        <row r="42">
          <cell r="A42" t="str">
            <v>C041</v>
          </cell>
          <cell r="B42" t="str">
            <v>Customer 41</v>
          </cell>
          <cell r="C42" t="str">
            <v>East</v>
          </cell>
          <cell r="D42" t="str">
            <v>Home Office</v>
          </cell>
        </row>
        <row r="43">
          <cell r="A43" t="str">
            <v>C042</v>
          </cell>
          <cell r="B43" t="str">
            <v>Customer 42</v>
          </cell>
          <cell r="C43" t="str">
            <v>South</v>
          </cell>
          <cell r="D43" t="str">
            <v>Home Office</v>
          </cell>
        </row>
        <row r="44">
          <cell r="A44" t="str">
            <v>C043</v>
          </cell>
          <cell r="B44" t="str">
            <v>Customer 43</v>
          </cell>
          <cell r="C44" t="str">
            <v>East</v>
          </cell>
          <cell r="D44" t="str">
            <v>Consumer</v>
          </cell>
        </row>
        <row r="45">
          <cell r="A45" t="str">
            <v>C044</v>
          </cell>
          <cell r="B45" t="str">
            <v>Customer 44</v>
          </cell>
          <cell r="C45" t="str">
            <v>South</v>
          </cell>
          <cell r="D45" t="str">
            <v>Consumer</v>
          </cell>
        </row>
        <row r="46">
          <cell r="A46" t="str">
            <v>C045</v>
          </cell>
          <cell r="B46" t="str">
            <v>Customer 45</v>
          </cell>
          <cell r="C46" t="str">
            <v>East</v>
          </cell>
          <cell r="D46" t="str">
            <v>Corporate</v>
          </cell>
        </row>
        <row r="47">
          <cell r="A47" t="str">
            <v>C046</v>
          </cell>
          <cell r="B47" t="str">
            <v>Customer 46</v>
          </cell>
          <cell r="C47" t="str">
            <v>East</v>
          </cell>
          <cell r="D47" t="str">
            <v>Consumer</v>
          </cell>
        </row>
        <row r="48">
          <cell r="A48" t="str">
            <v>C047</v>
          </cell>
          <cell r="B48" t="str">
            <v>Customer 47</v>
          </cell>
          <cell r="C48" t="str">
            <v>South</v>
          </cell>
          <cell r="D48" t="str">
            <v>Home Office</v>
          </cell>
        </row>
        <row r="49">
          <cell r="A49" t="str">
            <v>C048</v>
          </cell>
          <cell r="B49" t="str">
            <v>Customer 48</v>
          </cell>
          <cell r="C49" t="str">
            <v>East</v>
          </cell>
          <cell r="D49" t="str">
            <v>Consumer</v>
          </cell>
        </row>
        <row r="50">
          <cell r="A50" t="str">
            <v>C049</v>
          </cell>
          <cell r="B50" t="str">
            <v>Customer 49</v>
          </cell>
          <cell r="C50" t="str">
            <v>West</v>
          </cell>
          <cell r="D50" t="str">
            <v>Corporate</v>
          </cell>
        </row>
        <row r="51">
          <cell r="A51" t="str">
            <v>C050</v>
          </cell>
          <cell r="B51" t="str">
            <v>Customer 50</v>
          </cell>
          <cell r="C51" t="str">
            <v>West</v>
          </cell>
          <cell r="D51" t="str">
            <v>Consumer</v>
          </cell>
        </row>
        <row r="52">
          <cell r="A52" t="str">
            <v>C051</v>
          </cell>
          <cell r="B52" t="str">
            <v>Customer 51</v>
          </cell>
          <cell r="C52" t="str">
            <v>East</v>
          </cell>
          <cell r="D52" t="str">
            <v>Consumer</v>
          </cell>
        </row>
        <row r="53">
          <cell r="A53" t="str">
            <v>C052</v>
          </cell>
          <cell r="B53" t="str">
            <v>Customer 52</v>
          </cell>
          <cell r="C53" t="str">
            <v>South</v>
          </cell>
          <cell r="D53" t="str">
            <v>Home Office</v>
          </cell>
        </row>
        <row r="54">
          <cell r="A54" t="str">
            <v>C053</v>
          </cell>
          <cell r="B54" t="str">
            <v>Customer 53</v>
          </cell>
          <cell r="C54" t="str">
            <v>East</v>
          </cell>
          <cell r="D54" t="str">
            <v>Home Office</v>
          </cell>
        </row>
        <row r="55">
          <cell r="A55" t="str">
            <v>C054</v>
          </cell>
          <cell r="B55" t="str">
            <v>Customer 54</v>
          </cell>
          <cell r="C55" t="str">
            <v>West</v>
          </cell>
          <cell r="D55" t="str">
            <v>Home Office</v>
          </cell>
        </row>
        <row r="56">
          <cell r="A56" t="str">
            <v>C055</v>
          </cell>
          <cell r="B56" t="str">
            <v>Customer 55</v>
          </cell>
          <cell r="C56" t="str">
            <v>West</v>
          </cell>
          <cell r="D56" t="str">
            <v>Corporate</v>
          </cell>
        </row>
        <row r="57">
          <cell r="A57" t="str">
            <v>C056</v>
          </cell>
          <cell r="B57" t="str">
            <v>Customer 56</v>
          </cell>
          <cell r="C57" t="str">
            <v>South</v>
          </cell>
          <cell r="D57" t="str">
            <v>Consumer</v>
          </cell>
        </row>
        <row r="58">
          <cell r="A58" t="str">
            <v>C057</v>
          </cell>
          <cell r="B58" t="str">
            <v>Customer 57</v>
          </cell>
          <cell r="C58" t="str">
            <v>West</v>
          </cell>
          <cell r="D58" t="str">
            <v>Consumer</v>
          </cell>
        </row>
        <row r="59">
          <cell r="A59" t="str">
            <v>C058</v>
          </cell>
          <cell r="B59" t="str">
            <v>Customer 58</v>
          </cell>
          <cell r="C59" t="str">
            <v>North</v>
          </cell>
          <cell r="D59" t="str">
            <v>Consumer</v>
          </cell>
        </row>
        <row r="60">
          <cell r="A60" t="str">
            <v>C059</v>
          </cell>
          <cell r="B60" t="str">
            <v>Customer 59</v>
          </cell>
          <cell r="C60" t="str">
            <v>South</v>
          </cell>
          <cell r="D60" t="str">
            <v>Home Office</v>
          </cell>
        </row>
        <row r="61">
          <cell r="A61" t="str">
            <v>C060</v>
          </cell>
          <cell r="B61" t="str">
            <v>Customer 60</v>
          </cell>
          <cell r="C61" t="str">
            <v>South</v>
          </cell>
          <cell r="D61" t="str">
            <v>Home Office</v>
          </cell>
        </row>
        <row r="62">
          <cell r="A62" t="str">
            <v>C061</v>
          </cell>
          <cell r="B62" t="str">
            <v>Customer 61</v>
          </cell>
          <cell r="C62" t="str">
            <v>West</v>
          </cell>
          <cell r="D62" t="str">
            <v>Home Office</v>
          </cell>
        </row>
        <row r="63">
          <cell r="A63" t="str">
            <v>C062</v>
          </cell>
          <cell r="B63" t="str">
            <v>Customer 62</v>
          </cell>
          <cell r="C63" t="str">
            <v>North</v>
          </cell>
          <cell r="D63" t="str">
            <v>Corporate</v>
          </cell>
        </row>
        <row r="64">
          <cell r="A64" t="str">
            <v>C063</v>
          </cell>
          <cell r="B64" t="str">
            <v>Customer 63</v>
          </cell>
          <cell r="C64" t="str">
            <v>West</v>
          </cell>
          <cell r="D64" t="str">
            <v>Home Office</v>
          </cell>
        </row>
        <row r="65">
          <cell r="A65" t="str">
            <v>C064</v>
          </cell>
          <cell r="B65" t="str">
            <v>Customer 64</v>
          </cell>
          <cell r="C65" t="str">
            <v>West</v>
          </cell>
          <cell r="D65" t="str">
            <v>Home Office</v>
          </cell>
        </row>
        <row r="66">
          <cell r="A66" t="str">
            <v>C065</v>
          </cell>
          <cell r="B66" t="str">
            <v>Customer 65</v>
          </cell>
          <cell r="C66" t="str">
            <v>East</v>
          </cell>
          <cell r="D66" t="str">
            <v>Home Office</v>
          </cell>
        </row>
        <row r="67">
          <cell r="A67" t="str">
            <v>C066</v>
          </cell>
          <cell r="B67" t="str">
            <v>Customer 66</v>
          </cell>
          <cell r="C67" t="str">
            <v>North</v>
          </cell>
          <cell r="D67" t="str">
            <v>Home Office</v>
          </cell>
        </row>
        <row r="68">
          <cell r="A68" t="str">
            <v>C067</v>
          </cell>
          <cell r="B68" t="str">
            <v>Customer 67</v>
          </cell>
          <cell r="C68" t="str">
            <v>North</v>
          </cell>
          <cell r="D68" t="str">
            <v>Home Office</v>
          </cell>
        </row>
        <row r="69">
          <cell r="A69" t="str">
            <v>C068</v>
          </cell>
          <cell r="B69" t="str">
            <v>Customer 68</v>
          </cell>
          <cell r="C69" t="str">
            <v>East</v>
          </cell>
          <cell r="D69" t="str">
            <v>Home Office</v>
          </cell>
        </row>
        <row r="70">
          <cell r="A70" t="str">
            <v>C069</v>
          </cell>
          <cell r="B70" t="str">
            <v>Customer 69</v>
          </cell>
          <cell r="C70" t="str">
            <v>East</v>
          </cell>
          <cell r="D70" t="str">
            <v>Consumer</v>
          </cell>
        </row>
        <row r="71">
          <cell r="A71" t="str">
            <v>C070</v>
          </cell>
          <cell r="B71" t="str">
            <v>Customer 70</v>
          </cell>
          <cell r="C71" t="str">
            <v>East</v>
          </cell>
          <cell r="D71" t="str">
            <v>Corporate</v>
          </cell>
        </row>
        <row r="72">
          <cell r="A72" t="str">
            <v>C071</v>
          </cell>
          <cell r="B72" t="str">
            <v>Customer 71</v>
          </cell>
          <cell r="C72" t="str">
            <v>South</v>
          </cell>
          <cell r="D72" t="str">
            <v>Corporate</v>
          </cell>
        </row>
        <row r="73">
          <cell r="A73" t="str">
            <v>C072</v>
          </cell>
          <cell r="B73" t="str">
            <v>Customer 72</v>
          </cell>
          <cell r="C73" t="str">
            <v>North</v>
          </cell>
          <cell r="D73" t="str">
            <v>Home Office</v>
          </cell>
        </row>
        <row r="74">
          <cell r="A74" t="str">
            <v>C073</v>
          </cell>
          <cell r="B74" t="str">
            <v>Customer 73</v>
          </cell>
          <cell r="C74" t="str">
            <v>East</v>
          </cell>
          <cell r="D74" t="str">
            <v>Home Office</v>
          </cell>
        </row>
        <row r="75">
          <cell r="A75" t="str">
            <v>C074</v>
          </cell>
          <cell r="B75" t="str">
            <v>Customer 74</v>
          </cell>
          <cell r="C75" t="str">
            <v>South</v>
          </cell>
          <cell r="D75" t="str">
            <v>Home Office</v>
          </cell>
        </row>
        <row r="76">
          <cell r="A76" t="str">
            <v>C075</v>
          </cell>
          <cell r="B76" t="str">
            <v>Customer 75</v>
          </cell>
          <cell r="C76" t="str">
            <v>North</v>
          </cell>
          <cell r="D76" t="str">
            <v>Home Office</v>
          </cell>
        </row>
        <row r="77">
          <cell r="A77" t="str">
            <v>C076</v>
          </cell>
          <cell r="B77" t="str">
            <v>Customer 76</v>
          </cell>
          <cell r="C77" t="str">
            <v>East</v>
          </cell>
          <cell r="D77" t="str">
            <v>Home Office</v>
          </cell>
        </row>
        <row r="78">
          <cell r="A78" t="str">
            <v>C077</v>
          </cell>
          <cell r="B78" t="str">
            <v>Customer 77</v>
          </cell>
          <cell r="C78" t="str">
            <v>South</v>
          </cell>
          <cell r="D78" t="str">
            <v>Consumer</v>
          </cell>
        </row>
        <row r="79">
          <cell r="A79" t="str">
            <v>C078</v>
          </cell>
          <cell r="B79" t="str">
            <v>Customer 78</v>
          </cell>
          <cell r="C79" t="str">
            <v>East</v>
          </cell>
          <cell r="D79" t="str">
            <v>Consumer</v>
          </cell>
        </row>
        <row r="80">
          <cell r="A80" t="str">
            <v>C079</v>
          </cell>
          <cell r="B80" t="str">
            <v>Customer 79</v>
          </cell>
          <cell r="C80" t="str">
            <v>North</v>
          </cell>
          <cell r="D80" t="str">
            <v>Home Office</v>
          </cell>
        </row>
        <row r="81">
          <cell r="A81" t="str">
            <v>C080</v>
          </cell>
          <cell r="B81" t="str">
            <v>Customer 80</v>
          </cell>
          <cell r="C81" t="str">
            <v>East</v>
          </cell>
          <cell r="D81" t="str">
            <v>Corporate</v>
          </cell>
        </row>
        <row r="82">
          <cell r="A82" t="str">
            <v>C081</v>
          </cell>
          <cell r="B82" t="str">
            <v>Customer 81</v>
          </cell>
          <cell r="C82" t="str">
            <v>North</v>
          </cell>
          <cell r="D82" t="str">
            <v>Consumer</v>
          </cell>
        </row>
        <row r="83">
          <cell r="A83" t="str">
            <v>C082</v>
          </cell>
          <cell r="B83" t="str">
            <v>Customer 82</v>
          </cell>
          <cell r="C83" t="str">
            <v>East</v>
          </cell>
          <cell r="D83" t="str">
            <v>Corporate</v>
          </cell>
        </row>
        <row r="84">
          <cell r="A84" t="str">
            <v>C083</v>
          </cell>
          <cell r="B84" t="str">
            <v>Customer 83</v>
          </cell>
          <cell r="C84" t="str">
            <v>South</v>
          </cell>
          <cell r="D84" t="str">
            <v>Consumer</v>
          </cell>
        </row>
        <row r="85">
          <cell r="A85" t="str">
            <v>C084</v>
          </cell>
          <cell r="B85" t="str">
            <v>Customer 84</v>
          </cell>
          <cell r="C85" t="str">
            <v>South</v>
          </cell>
          <cell r="D85" t="str">
            <v>Home Office</v>
          </cell>
        </row>
        <row r="86">
          <cell r="A86" t="str">
            <v>C085</v>
          </cell>
          <cell r="B86" t="str">
            <v>Customer 85</v>
          </cell>
          <cell r="C86" t="str">
            <v>North</v>
          </cell>
          <cell r="D86" t="str">
            <v>Consumer</v>
          </cell>
        </row>
        <row r="87">
          <cell r="A87" t="str">
            <v>C086</v>
          </cell>
          <cell r="B87" t="str">
            <v>Customer 86</v>
          </cell>
          <cell r="C87" t="str">
            <v>West</v>
          </cell>
          <cell r="D87" t="str">
            <v>Consumer</v>
          </cell>
        </row>
        <row r="88">
          <cell r="A88" t="str">
            <v>C087</v>
          </cell>
          <cell r="B88" t="str">
            <v>Customer 87</v>
          </cell>
          <cell r="C88" t="str">
            <v>South</v>
          </cell>
          <cell r="D88" t="str">
            <v>Consumer</v>
          </cell>
        </row>
        <row r="89">
          <cell r="A89" t="str">
            <v>C088</v>
          </cell>
          <cell r="B89" t="str">
            <v>Customer 88</v>
          </cell>
          <cell r="C89" t="str">
            <v>West</v>
          </cell>
          <cell r="D89" t="str">
            <v>Home Office</v>
          </cell>
        </row>
        <row r="90">
          <cell r="A90" t="str">
            <v>C089</v>
          </cell>
          <cell r="B90" t="str">
            <v>Customer 89</v>
          </cell>
          <cell r="C90" t="str">
            <v>South</v>
          </cell>
          <cell r="D90" t="str">
            <v>Corporate</v>
          </cell>
        </row>
        <row r="91">
          <cell r="A91" t="str">
            <v>C090</v>
          </cell>
          <cell r="B91" t="str">
            <v>Customer 90</v>
          </cell>
          <cell r="C91" t="str">
            <v>West</v>
          </cell>
          <cell r="D91" t="str">
            <v>Consumer</v>
          </cell>
        </row>
        <row r="92">
          <cell r="A92" t="str">
            <v>C091</v>
          </cell>
          <cell r="B92" t="str">
            <v>Customer 91</v>
          </cell>
          <cell r="C92" t="str">
            <v>South</v>
          </cell>
          <cell r="D92" t="str">
            <v>Home Office</v>
          </cell>
        </row>
        <row r="93">
          <cell r="A93" t="str">
            <v>C092</v>
          </cell>
          <cell r="B93" t="str">
            <v>Customer 92</v>
          </cell>
          <cell r="C93" t="str">
            <v>East</v>
          </cell>
          <cell r="D93" t="str">
            <v>Corporate</v>
          </cell>
        </row>
        <row r="94">
          <cell r="A94" t="str">
            <v>C093</v>
          </cell>
          <cell r="B94" t="str">
            <v>Customer 93</v>
          </cell>
          <cell r="C94" t="str">
            <v>East</v>
          </cell>
          <cell r="D94" t="str">
            <v>Corporate</v>
          </cell>
        </row>
        <row r="95">
          <cell r="A95" t="str">
            <v>C094</v>
          </cell>
          <cell r="B95" t="str">
            <v>Customer 94</v>
          </cell>
          <cell r="C95" t="str">
            <v>West</v>
          </cell>
          <cell r="D95" t="str">
            <v>Consumer</v>
          </cell>
        </row>
        <row r="96">
          <cell r="A96" t="str">
            <v>C095</v>
          </cell>
          <cell r="B96" t="str">
            <v>Customer 95</v>
          </cell>
          <cell r="C96" t="str">
            <v>South</v>
          </cell>
          <cell r="D96" t="str">
            <v>Consumer</v>
          </cell>
        </row>
        <row r="97">
          <cell r="A97" t="str">
            <v>C096</v>
          </cell>
          <cell r="B97" t="str">
            <v>Customer 96</v>
          </cell>
          <cell r="C97" t="str">
            <v>North</v>
          </cell>
          <cell r="D97" t="str">
            <v>Corporate</v>
          </cell>
        </row>
        <row r="98">
          <cell r="A98" t="str">
            <v>C097</v>
          </cell>
          <cell r="B98" t="str">
            <v>Customer 97</v>
          </cell>
          <cell r="C98" t="str">
            <v>North</v>
          </cell>
          <cell r="D98" t="str">
            <v>Home Office</v>
          </cell>
        </row>
        <row r="99">
          <cell r="A99" t="str">
            <v>C098</v>
          </cell>
          <cell r="B99" t="str">
            <v>Customer 98</v>
          </cell>
          <cell r="C99" t="str">
            <v>South</v>
          </cell>
          <cell r="D99" t="str">
            <v>Home Office</v>
          </cell>
        </row>
        <row r="100">
          <cell r="A100" t="str">
            <v>C099</v>
          </cell>
          <cell r="B100" t="str">
            <v>Customer 99</v>
          </cell>
          <cell r="C100" t="str">
            <v>South</v>
          </cell>
          <cell r="D100" t="str">
            <v>Consumer</v>
          </cell>
        </row>
        <row r="101">
          <cell r="A101" t="str">
            <v>C100</v>
          </cell>
          <cell r="B101" t="str">
            <v>Customer 100</v>
          </cell>
          <cell r="C101" t="str">
            <v>North</v>
          </cell>
          <cell r="D101" t="str">
            <v>Home Office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m gaur" refreshedDate="46210.39870474537" createdVersion="7" refreshedVersion="7" minRefreshableVersion="3" recordCount="1000" xr:uid="{1626A336-2158-49CF-A33F-A16C9DCCE3BC}">
  <cacheSource type="worksheet">
    <worksheetSource ref="A1:H1001" sheet="Sheet"/>
  </cacheSource>
  <cacheFields count="8">
    <cacheField name="Order_ID" numFmtId="0">
      <sharedItems count="1000"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4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0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5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7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4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5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0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0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7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7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2"/>
        <s v="O0653"/>
        <s v="O0654"/>
        <s v="O0655"/>
        <s v="O0656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4"/>
        <s v="O0685"/>
        <s v="O0686"/>
        <s v="O0687"/>
        <s v="O0688"/>
        <s v="O0689"/>
        <s v="O0690"/>
        <s v="O0691"/>
        <s v="O0692"/>
        <s v="O0693"/>
        <s v="O0694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5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799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19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1"/>
        <s v="O0862"/>
        <s v="O0863"/>
        <s v="O0864"/>
        <s v="O0865"/>
        <s v="O0866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0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3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5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</sharedItems>
    </cacheField>
    <cacheField name="Order_Date" numFmtId="0">
      <sharedItems count="345">
        <s v="2024-01-17"/>
        <s v="2024-10-03"/>
        <s v="2024-07-27"/>
        <s v="2024-08-27"/>
        <s v="2024-02-25"/>
        <s v="2024-05-22"/>
        <s v="2024-02-20"/>
        <s v="2024-03-26"/>
        <s v="2024-03-25"/>
        <s v="2024-05-26"/>
        <s v="2024-01-30"/>
        <s v="2024-09-01"/>
        <s v="2024-04-05"/>
        <s v="2024-10-18"/>
        <s v="2024-10-25"/>
        <s v="2024-05-02"/>
        <s v="2024-02-07"/>
        <s v="2024-04-19"/>
        <s v="2024-07-08"/>
        <s v="2024-11-30"/>
        <s v="2024-03-09"/>
        <s v="2024-11-05"/>
        <s v="2024-09-07"/>
        <s v="2024-01-02"/>
        <s v="2024-08-06"/>
        <s v="2024-03-17"/>
        <s v="2024-01-22"/>
        <s v="2024-02-22"/>
        <s v="2024-05-01"/>
        <s v="2024-07-29"/>
        <s v="2024-01-20"/>
        <s v="2024-04-26"/>
        <s v="2024-01-15"/>
        <s v="2024-09-18"/>
        <s v="2024-01-01"/>
        <s v="2024-06-18"/>
        <s v="2024-12-07"/>
        <s v="2024-08-03"/>
        <s v="2024-06-13"/>
        <s v="2024-03-27"/>
        <s v="2024-02-17"/>
        <s v="2024-08-31"/>
        <s v="2024-12-22"/>
        <s v="2024-02-24"/>
        <s v="2024-05-07"/>
        <s v="2024-10-31"/>
        <s v="2024-10-07"/>
        <s v="2024-11-22"/>
        <s v="2024-03-18"/>
        <s v="2024-10-26"/>
        <s v="2024-06-01"/>
        <s v="2024-04-22"/>
        <s v="2024-12-08"/>
        <s v="2024-09-30"/>
        <s v="2024-08-07"/>
        <s v="2024-08-20"/>
        <s v="2024-05-09"/>
        <s v="2024-06-28"/>
        <s v="2024-01-11"/>
        <s v="2024-04-21"/>
        <s v="2024-02-28"/>
        <s v="2024-12-12"/>
        <s v="2024-05-04"/>
        <s v="2024-06-23"/>
        <s v="2024-08-23"/>
        <s v="2024-05-18"/>
        <s v="2024-05-17"/>
        <s v="2024-08-25"/>
        <s v="2024-04-03"/>
        <s v="2024-12-25"/>
        <s v="2024-08-17"/>
        <s v="2024-12-05"/>
        <s v="2024-10-08"/>
        <s v="2024-04-08"/>
        <s v="2024-09-04"/>
        <s v="2024-04-09"/>
        <s v="2024-03-05"/>
        <s v="2024-09-08"/>
        <s v="2024-06-04"/>
        <s v="2024-11-12"/>
        <s v="2024-10-28"/>
        <s v="2024-10-09"/>
        <s v="2024-05-29"/>
        <s v="2024-02-06"/>
        <s v="2024-04-11"/>
        <s v="2024-03-13"/>
        <s v="2024-05-27"/>
        <s v="2024-05-19"/>
        <s v="2024-08-09"/>
        <s v="2024-12-11"/>
        <s v="2024-01-21"/>
        <s v="2024-12-09"/>
        <s v="2024-07-24"/>
        <s v="2024-07-25"/>
        <s v="2024-07-04"/>
        <s v="2024-03-08"/>
        <s v="2024-04-25"/>
        <s v="2024-02-05"/>
        <s v="2024-06-19"/>
        <s v="2024-12-23"/>
        <s v="2024-06-11"/>
        <s v="2024-11-29"/>
        <s v="2024-02-21"/>
        <s v="2024-12-01"/>
        <s v="2024-11-28"/>
        <s v="2024-09-06"/>
        <s v="2024-05-30"/>
        <s v="2024-12-15"/>
        <s v="2024-08-14"/>
        <s v="2024-08-21"/>
        <s v="2024-07-02"/>
        <s v="2024-05-20"/>
        <s v="2024-12-13"/>
        <s v="2024-08-13"/>
        <s v="2024-06-16"/>
        <s v="2024-07-06"/>
        <s v="2024-09-03"/>
        <s v="2024-05-15"/>
        <s v="2024-10-14"/>
        <s v="2024-12-24"/>
        <s v="2024-09-09"/>
        <s v="2024-07-31"/>
        <s v="2024-04-07"/>
        <s v="2024-10-10"/>
        <s v="2024-11-01"/>
        <s v="2024-02-26"/>
        <s v="2024-09-26"/>
        <s v="2024-12-03"/>
        <s v="2024-09-02"/>
        <s v="2024-02-11"/>
        <s v="2024-04-20"/>
        <s v="2024-03-19"/>
        <s v="2024-02-19"/>
        <s v="2024-08-04"/>
        <s v="2024-09-16"/>
        <s v="2024-10-11"/>
        <s v="2024-12-21"/>
        <s v="2024-06-22"/>
        <s v="2024-10-17"/>
        <s v="2024-07-21"/>
        <s v="2024-03-11"/>
        <s v="2024-03-30"/>
        <s v="2024-02-09"/>
        <s v="2024-05-28"/>
        <s v="2024-04-23"/>
        <s v="2024-03-29"/>
        <s v="2024-11-21"/>
        <s v="2024-11-19"/>
        <s v="2024-08-24"/>
        <s v="2024-02-16"/>
        <s v="2024-02-01"/>
        <s v="2024-07-09"/>
        <s v="2024-05-25"/>
        <s v="2024-10-13"/>
        <s v="2024-12-16"/>
        <s v="2024-04-02"/>
        <s v="2024-09-14"/>
        <s v="2024-05-08"/>
        <s v="2024-09-21"/>
        <s v="2024-09-19"/>
        <s v="2024-01-14"/>
        <s v="2024-05-11"/>
        <s v="2024-11-14"/>
        <s v="2024-09-20"/>
        <s v="2024-05-03"/>
        <s v="2024-07-03"/>
        <s v="2024-01-09"/>
        <s v="2024-10-24"/>
        <s v="2024-11-25"/>
        <s v="2024-08-22"/>
        <s v="2024-06-10"/>
        <s v="2024-11-27"/>
        <s v="2024-07-16"/>
        <s v="2024-09-22"/>
        <s v="2024-06-05"/>
        <s v="2024-01-16"/>
        <s v="2024-11-26"/>
        <s v="2024-08-18"/>
        <s v="2024-12-26"/>
        <s v="2024-04-12"/>
        <s v="2024-02-14"/>
        <s v="2024-06-02"/>
        <s v="2024-03-12"/>
        <s v="2024-11-24"/>
        <s v="2024-01-29"/>
        <s v="2024-12-29"/>
        <s v="2024-10-22"/>
        <s v="2024-11-17"/>
        <s v="2024-07-26"/>
        <s v="2024-06-12"/>
        <s v="2024-03-22"/>
        <s v="2024-09-15"/>
        <s v="2024-09-10"/>
        <s v="2024-07-10"/>
        <s v="2024-08-30"/>
        <s v="2024-11-09"/>
        <s v="2024-06-21"/>
        <s v="2024-12-18"/>
        <s v="2024-10-23"/>
        <s v="2024-11-13"/>
        <s v="2024-12-14"/>
        <s v="2024-10-12"/>
        <s v="2024-06-26"/>
        <s v="2024-01-19"/>
        <s v="2024-05-16"/>
        <s v="2024-05-31"/>
        <s v="2024-10-02"/>
        <s v="2024-02-27"/>
        <s v="2024-10-15"/>
        <s v="2024-12-04"/>
        <s v="2024-09-27"/>
        <s v="2024-12-10"/>
        <s v="2024-10-29"/>
        <s v="2024-12-28"/>
        <s v="2024-09-28"/>
        <s v="2024-07-12"/>
        <s v="2024-10-27"/>
        <s v="2024-05-24"/>
        <s v="2024-04-14"/>
        <s v="2024-03-15"/>
        <s v="2024-01-04"/>
        <s v="2024-12-20"/>
        <s v="2024-05-23"/>
        <s v="2024-04-16"/>
        <s v="2024-08-11"/>
        <s v="2024-07-22"/>
        <s v="2024-07-11"/>
        <s v="2024-11-20"/>
        <s v="2024-06-06"/>
        <s v="2024-07-30"/>
        <s v="2024-07-13"/>
        <s v="2024-07-20"/>
        <s v="2024-01-13"/>
        <s v="2024-06-27"/>
        <s v="2024-01-03"/>
        <s v="2024-02-02"/>
        <s v="2024-07-19"/>
        <s v="2024-03-01"/>
        <s v="2024-07-17"/>
        <s v="2024-10-05"/>
        <s v="2024-08-05"/>
        <s v="2024-04-15"/>
        <s v="2024-06-14"/>
        <s v="2024-07-07"/>
        <s v="2024-01-24"/>
        <s v="2024-06-03"/>
        <s v="2024-12-06"/>
        <s v="2024-04-29"/>
        <s v="2024-10-30"/>
        <s v="2024-03-02"/>
        <s v="2024-11-11"/>
        <s v="2024-03-04"/>
        <s v="2024-05-21"/>
        <s v="2024-08-29"/>
        <s v="2024-01-31"/>
        <s v="2024-03-20"/>
        <s v="2024-03-24"/>
        <s v="2024-01-07"/>
        <s v="2024-01-27"/>
        <s v="2024-08-26"/>
        <s v="2024-07-28"/>
        <s v="2024-01-05"/>
        <s v="2024-11-18"/>
        <s v="2024-01-12"/>
        <s v="2024-05-05"/>
        <s v="2024-11-04"/>
        <s v="2024-04-13"/>
        <s v="2024-03-21"/>
        <s v="2024-10-20"/>
        <s v="2024-02-04"/>
        <s v="2024-08-02"/>
        <s v="2024-01-26"/>
        <s v="2024-03-28"/>
        <s v="2024-05-14"/>
        <s v="2024-01-18"/>
        <s v="2024-03-31"/>
        <s v="2024-05-12"/>
        <s v="2024-10-19"/>
        <s v="2024-09-11"/>
        <s v="2024-08-10"/>
        <s v="2024-06-25"/>
        <s v="2024-02-03"/>
        <s v="2024-09-24"/>
        <s v="2024-02-18"/>
        <s v="2024-08-12"/>
        <s v="2024-03-07"/>
        <s v="2024-04-24"/>
        <s v="2024-08-28"/>
        <s v="2024-04-30"/>
        <s v="2024-08-16"/>
        <s v="2024-11-03"/>
        <s v="2024-05-10"/>
        <s v="2024-03-06"/>
        <s v="2024-07-15"/>
        <s v="2024-02-29"/>
        <s v="2024-08-01"/>
        <s v="2024-03-23"/>
        <s v="2024-10-04"/>
        <s v="2024-10-06"/>
        <s v="2024-07-05"/>
        <s v="2024-12-30"/>
        <s v="2024-09-13"/>
        <s v="2024-11-10"/>
        <s v="2024-10-16"/>
        <s v="2024-04-28"/>
        <s v="2024-02-12"/>
        <s v="2024-12-27"/>
        <s v="2024-07-14"/>
        <s v="2024-10-01"/>
        <s v="2024-06-24"/>
        <s v="2024-07-01"/>
        <s v="2024-10-21"/>
        <s v="2024-04-17"/>
        <s v="2024-12-17"/>
        <s v="2024-04-10"/>
        <s v="2024-02-10"/>
        <s v="2024-01-28"/>
        <s v="2024-05-13"/>
        <s v="2024-03-10"/>
        <s v="2024-11-02"/>
        <s v="2024-04-04"/>
        <s v="2024-12-02"/>
        <s v="2024-04-01"/>
        <s v="2024-06-29"/>
        <s v="2024-12-19"/>
        <s v="2024-01-06"/>
        <s v="2024-08-08"/>
        <s v="2024-04-18"/>
        <s v="2024-02-15"/>
        <s v="2024-01-10"/>
        <s v="2024-09-12"/>
        <s v="2024-03-03"/>
        <s v="2024-09-25"/>
        <s v="2024-06-08"/>
        <s v="2024-07-18"/>
        <s v="2024-11-16"/>
        <s v="2024-03-14"/>
        <s v="2024-09-05"/>
        <s v="2024-09-29"/>
        <s v="2024-11-08"/>
        <s v="2024-06-09"/>
        <s v="2024-02-23"/>
        <s v="2024-06-15"/>
        <s v="2024-04-27"/>
        <s v="2024-05-06"/>
      </sharedItems>
    </cacheField>
    <cacheField name="Customer_ID" numFmtId="0">
      <sharedItems count="100">
        <s v="C081"/>
        <s v="C031"/>
        <s v="C061"/>
        <s v="C085"/>
        <s v="C008"/>
        <s v="C069"/>
        <s v="C057"/>
        <s v="C012"/>
        <s v="C028"/>
        <s v="C034"/>
        <s v="C020"/>
        <s v="C096"/>
        <s v="C087"/>
        <s v="C006"/>
        <s v="C086"/>
        <s v="C073"/>
        <s v="C045"/>
        <s v="C070"/>
        <s v="C039"/>
        <s v="C088"/>
        <s v="C082"/>
        <s v="C021"/>
        <s v="C010"/>
        <s v="C075"/>
        <s v="C046"/>
        <s v="C080"/>
        <s v="C004"/>
        <s v="C059"/>
        <s v="C052"/>
        <s v="C094"/>
        <s v="C025"/>
        <s v="C047"/>
        <s v="C093"/>
        <s v="C090"/>
        <s v="C079"/>
        <s v="C056"/>
        <s v="C066"/>
        <s v="C026"/>
        <s v="C054"/>
        <s v="C032"/>
        <s v="C060"/>
        <s v="C058"/>
        <s v="C041"/>
        <s v="C091"/>
        <s v="C049"/>
        <s v="C007"/>
        <s v="C036"/>
        <s v="C097"/>
        <s v="C017"/>
        <s v="C022"/>
        <s v="C016"/>
        <s v="C014"/>
        <s v="C023"/>
        <s v="C044"/>
        <s v="C067"/>
        <s v="C089"/>
        <s v="C029"/>
        <s v="C071"/>
        <s v="C035"/>
        <s v="C098"/>
        <s v="C077"/>
        <s v="C074"/>
        <s v="C062"/>
        <s v="C072"/>
        <s v="C053"/>
        <s v="C040"/>
        <s v="C033"/>
        <s v="C084"/>
        <s v="C083"/>
        <s v="C065"/>
        <s v="C030"/>
        <s v="C050"/>
        <s v="C009"/>
        <s v="C013"/>
        <s v="C019"/>
        <s v="C011"/>
        <s v="C037"/>
        <s v="C003"/>
        <s v="C078"/>
        <s v="C048"/>
        <s v="C018"/>
        <s v="C076"/>
        <s v="C002"/>
        <s v="C063"/>
        <s v="C055"/>
        <s v="C015"/>
        <s v="C068"/>
        <s v="C027"/>
        <s v="C095"/>
        <s v="C042"/>
        <s v="C051"/>
        <s v="C092"/>
        <s v="C100"/>
        <s v="C043"/>
        <s v="C099"/>
        <s v="C005"/>
        <s v="C064"/>
        <s v="C038"/>
        <s v="C024"/>
        <s v="C001"/>
      </sharedItems>
    </cacheField>
    <cacheField name="Product_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minValue="100.96" maxValue="4992.32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6.1" maxValue="1674.47"/>
    </cacheField>
    <cacheField name="Discount" numFmtId="0">
      <sharedItems containsSemiMixedTypes="0" containsString="0" containsNumber="1" minValue="0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m gaur" refreshedDate="46212.365674884262" createdVersion="7" refreshedVersion="7" minRefreshableVersion="3" recordCount="1000" xr:uid="{0483DC53-41EF-4E55-9307-AF082EBDE129}">
  <cacheSource type="worksheet">
    <worksheetSource ref="A1:J1001" sheet="Sheet"/>
  </cacheSource>
  <cacheFields count="10">
    <cacheField name="Order_ID" numFmtId="0">
      <sharedItems/>
    </cacheField>
    <cacheField name="Order_Date" numFmtId="0">
      <sharedItems/>
    </cacheField>
    <cacheField name="Customer_ID" numFmtId="0">
      <sharedItems/>
    </cacheField>
    <cacheField name="Product_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minValue="100.96" maxValue="4992.32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6.1" maxValue="1674.47"/>
    </cacheField>
    <cacheField name="Discount" numFmtId="0">
      <sharedItems containsSemiMixedTypes="0" containsString="0" containsNumber="1" minValue="0" maxValue="0.2"/>
    </cacheField>
    <cacheField name="Region " numFmtId="0">
      <sharedItems count="4">
        <s v="North"/>
        <s v="West"/>
        <s v="South"/>
        <s v="East"/>
      </sharedItems>
    </cacheField>
    <cacheField name="Segment" numFmtId="0">
      <sharedItems count="3">
        <s v="Consumer"/>
        <s v="Corporate"/>
        <s v="Home Off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388.48"/>
    <n v="2"/>
    <n v="27.28"/>
    <n v="0.2"/>
  </r>
  <r>
    <x v="1"/>
    <x v="1"/>
    <x v="1"/>
    <x v="1"/>
    <n v="1464.54"/>
    <n v="10"/>
    <n v="286.5"/>
    <n v="0.2"/>
  </r>
  <r>
    <x v="2"/>
    <x v="2"/>
    <x v="2"/>
    <x v="1"/>
    <n v="1290.69"/>
    <n v="2"/>
    <n v="247.67"/>
    <n v="0"/>
  </r>
  <r>
    <x v="3"/>
    <x v="3"/>
    <x v="3"/>
    <x v="2"/>
    <n v="2212.15"/>
    <n v="1"/>
    <n v="391.71"/>
    <n v="0"/>
  </r>
  <r>
    <x v="4"/>
    <x v="4"/>
    <x v="4"/>
    <x v="1"/>
    <n v="2072.84"/>
    <n v="4"/>
    <n v="314.64"/>
    <n v="0.05"/>
  </r>
  <r>
    <x v="5"/>
    <x v="5"/>
    <x v="5"/>
    <x v="0"/>
    <n v="2298.21"/>
    <n v="4"/>
    <n v="405.78"/>
    <n v="0"/>
  </r>
  <r>
    <x v="6"/>
    <x v="6"/>
    <x v="6"/>
    <x v="1"/>
    <n v="4059.31"/>
    <n v="9"/>
    <n v="1245.3599999999999"/>
    <n v="0"/>
  </r>
  <r>
    <x v="7"/>
    <x v="7"/>
    <x v="7"/>
    <x v="0"/>
    <n v="4639.2"/>
    <n v="8"/>
    <n v="1413.14"/>
    <n v="0.15"/>
  </r>
  <r>
    <x v="8"/>
    <x v="8"/>
    <x v="8"/>
    <x v="0"/>
    <n v="4336.79"/>
    <n v="1"/>
    <n v="1390.95"/>
    <n v="0.15"/>
  </r>
  <r>
    <x v="9"/>
    <x v="9"/>
    <x v="9"/>
    <x v="0"/>
    <n v="4639.9399999999996"/>
    <n v="9"/>
    <n v="1324.88"/>
    <n v="0.15"/>
  </r>
  <r>
    <x v="10"/>
    <x v="10"/>
    <x v="10"/>
    <x v="2"/>
    <n v="1030.5"/>
    <n v="9"/>
    <n v="118.83"/>
    <n v="0"/>
  </r>
  <r>
    <x v="11"/>
    <x v="11"/>
    <x v="11"/>
    <x v="2"/>
    <n v="1636.66"/>
    <n v="9"/>
    <n v="106.45"/>
    <n v="0.05"/>
  </r>
  <r>
    <x v="12"/>
    <x v="12"/>
    <x v="4"/>
    <x v="1"/>
    <n v="4807.82"/>
    <n v="10"/>
    <n v="355.94"/>
    <n v="0"/>
  </r>
  <r>
    <x v="13"/>
    <x v="13"/>
    <x v="12"/>
    <x v="1"/>
    <n v="4322.91"/>
    <n v="10"/>
    <n v="739.79"/>
    <n v="0.2"/>
  </r>
  <r>
    <x v="14"/>
    <x v="14"/>
    <x v="13"/>
    <x v="2"/>
    <n v="3134.97"/>
    <n v="9"/>
    <n v="551.03"/>
    <n v="0.1"/>
  </r>
  <r>
    <x v="15"/>
    <x v="15"/>
    <x v="9"/>
    <x v="0"/>
    <n v="1100.8699999999999"/>
    <n v="7"/>
    <n v="291.57"/>
    <n v="0.05"/>
  </r>
  <r>
    <x v="16"/>
    <x v="16"/>
    <x v="14"/>
    <x v="1"/>
    <n v="3262.95"/>
    <n v="8"/>
    <n v="610.72"/>
    <n v="0.2"/>
  </r>
  <r>
    <x v="17"/>
    <x v="17"/>
    <x v="15"/>
    <x v="2"/>
    <n v="4980.87"/>
    <n v="5"/>
    <n v="358.51"/>
    <n v="0.05"/>
  </r>
  <r>
    <x v="18"/>
    <x v="18"/>
    <x v="16"/>
    <x v="0"/>
    <n v="4416.2299999999996"/>
    <n v="3"/>
    <n v="1385.73"/>
    <n v="0.15"/>
  </r>
  <r>
    <x v="19"/>
    <x v="19"/>
    <x v="17"/>
    <x v="2"/>
    <n v="3547.35"/>
    <n v="1"/>
    <n v="828.32"/>
    <n v="0.2"/>
  </r>
  <r>
    <x v="20"/>
    <x v="20"/>
    <x v="18"/>
    <x v="0"/>
    <n v="4665.6000000000004"/>
    <n v="2"/>
    <n v="378.27"/>
    <n v="0"/>
  </r>
  <r>
    <x v="21"/>
    <x v="21"/>
    <x v="11"/>
    <x v="1"/>
    <n v="2810.8"/>
    <n v="6"/>
    <n v="370.19"/>
    <n v="0.05"/>
  </r>
  <r>
    <x v="22"/>
    <x v="22"/>
    <x v="19"/>
    <x v="0"/>
    <n v="3207.77"/>
    <n v="1"/>
    <n v="414.43"/>
    <n v="0"/>
  </r>
  <r>
    <x v="23"/>
    <x v="23"/>
    <x v="20"/>
    <x v="0"/>
    <n v="2175.52"/>
    <n v="3"/>
    <n v="289.35000000000002"/>
    <n v="0.1"/>
  </r>
  <r>
    <x v="24"/>
    <x v="24"/>
    <x v="21"/>
    <x v="2"/>
    <n v="3732.03"/>
    <n v="1"/>
    <n v="804.27"/>
    <n v="0"/>
  </r>
  <r>
    <x v="25"/>
    <x v="25"/>
    <x v="22"/>
    <x v="2"/>
    <n v="4730.75"/>
    <n v="1"/>
    <n v="1217.25"/>
    <n v="0.1"/>
  </r>
  <r>
    <x v="26"/>
    <x v="26"/>
    <x v="23"/>
    <x v="0"/>
    <n v="2807.37"/>
    <n v="6"/>
    <n v="502.34"/>
    <n v="0"/>
  </r>
  <r>
    <x v="27"/>
    <x v="27"/>
    <x v="24"/>
    <x v="0"/>
    <n v="1129.3800000000001"/>
    <n v="9"/>
    <n v="141.01"/>
    <n v="0.15"/>
  </r>
  <r>
    <x v="28"/>
    <x v="28"/>
    <x v="25"/>
    <x v="1"/>
    <n v="3772.44"/>
    <n v="3"/>
    <n v="1236.3399999999999"/>
    <n v="0.15"/>
  </r>
  <r>
    <x v="29"/>
    <x v="29"/>
    <x v="26"/>
    <x v="2"/>
    <n v="978.87"/>
    <n v="4"/>
    <n v="320.43"/>
    <n v="0.1"/>
  </r>
  <r>
    <x v="30"/>
    <x v="30"/>
    <x v="21"/>
    <x v="0"/>
    <n v="3958.14"/>
    <n v="4"/>
    <n v="326.26"/>
    <n v="0.05"/>
  </r>
  <r>
    <x v="31"/>
    <x v="31"/>
    <x v="27"/>
    <x v="1"/>
    <n v="1813.33"/>
    <n v="1"/>
    <n v="537.04"/>
    <n v="0.05"/>
  </r>
  <r>
    <x v="32"/>
    <x v="5"/>
    <x v="28"/>
    <x v="0"/>
    <n v="1708.48"/>
    <n v="9"/>
    <n v="528.44000000000005"/>
    <n v="0.15"/>
  </r>
  <r>
    <x v="33"/>
    <x v="32"/>
    <x v="12"/>
    <x v="1"/>
    <n v="4907.63"/>
    <n v="5"/>
    <n v="1034.8499999999999"/>
    <n v="0.05"/>
  </r>
  <r>
    <x v="34"/>
    <x v="4"/>
    <x v="23"/>
    <x v="2"/>
    <n v="4816.42"/>
    <n v="7"/>
    <n v="624.4"/>
    <n v="0.1"/>
  </r>
  <r>
    <x v="35"/>
    <x v="33"/>
    <x v="29"/>
    <x v="1"/>
    <n v="3953.5"/>
    <n v="7"/>
    <n v="715.26"/>
    <n v="0.2"/>
  </r>
  <r>
    <x v="36"/>
    <x v="34"/>
    <x v="30"/>
    <x v="2"/>
    <n v="1348.14"/>
    <n v="9"/>
    <n v="354.07"/>
    <n v="0.05"/>
  </r>
  <r>
    <x v="37"/>
    <x v="35"/>
    <x v="31"/>
    <x v="2"/>
    <n v="2213.36"/>
    <n v="6"/>
    <n v="740.73"/>
    <n v="0"/>
  </r>
  <r>
    <x v="38"/>
    <x v="36"/>
    <x v="32"/>
    <x v="0"/>
    <n v="4510.2299999999996"/>
    <n v="6"/>
    <n v="911.68"/>
    <n v="0.15"/>
  </r>
  <r>
    <x v="39"/>
    <x v="37"/>
    <x v="33"/>
    <x v="2"/>
    <n v="1548.71"/>
    <n v="7"/>
    <n v="136.58000000000001"/>
    <n v="0.05"/>
  </r>
  <r>
    <x v="40"/>
    <x v="34"/>
    <x v="34"/>
    <x v="0"/>
    <n v="2888.62"/>
    <n v="5"/>
    <n v="496.33"/>
    <n v="0.05"/>
  </r>
  <r>
    <x v="41"/>
    <x v="38"/>
    <x v="35"/>
    <x v="0"/>
    <n v="3950.22"/>
    <n v="8"/>
    <n v="916.45"/>
    <n v="0.15"/>
  </r>
  <r>
    <x v="42"/>
    <x v="39"/>
    <x v="12"/>
    <x v="2"/>
    <n v="1147.1400000000001"/>
    <n v="2"/>
    <n v="220.2"/>
    <n v="0.1"/>
  </r>
  <r>
    <x v="43"/>
    <x v="40"/>
    <x v="36"/>
    <x v="1"/>
    <n v="3352.88"/>
    <n v="5"/>
    <n v="790.54"/>
    <n v="0.05"/>
  </r>
  <r>
    <x v="44"/>
    <x v="41"/>
    <x v="37"/>
    <x v="2"/>
    <n v="822.03"/>
    <n v="2"/>
    <n v="52.5"/>
    <n v="0.15"/>
  </r>
  <r>
    <x v="45"/>
    <x v="42"/>
    <x v="38"/>
    <x v="0"/>
    <n v="4442.07"/>
    <n v="8"/>
    <n v="989.25"/>
    <n v="0.15"/>
  </r>
  <r>
    <x v="46"/>
    <x v="43"/>
    <x v="39"/>
    <x v="0"/>
    <n v="823.1"/>
    <n v="4"/>
    <n v="210.95"/>
    <n v="0.05"/>
  </r>
  <r>
    <x v="47"/>
    <x v="44"/>
    <x v="33"/>
    <x v="1"/>
    <n v="2637.99"/>
    <n v="8"/>
    <n v="171.64"/>
    <n v="0.05"/>
  </r>
  <r>
    <x v="48"/>
    <x v="45"/>
    <x v="40"/>
    <x v="0"/>
    <n v="3371.13"/>
    <n v="8"/>
    <n v="1167.6500000000001"/>
    <n v="0.2"/>
  </r>
  <r>
    <x v="49"/>
    <x v="46"/>
    <x v="32"/>
    <x v="0"/>
    <n v="4470.8999999999996"/>
    <n v="3"/>
    <n v="795.92"/>
    <n v="0.15"/>
  </r>
  <r>
    <x v="50"/>
    <x v="47"/>
    <x v="41"/>
    <x v="0"/>
    <n v="1370.04"/>
    <n v="9"/>
    <n v="170.12"/>
    <n v="0.15"/>
  </r>
  <r>
    <x v="51"/>
    <x v="9"/>
    <x v="0"/>
    <x v="1"/>
    <n v="1272.3"/>
    <n v="5"/>
    <n v="231.51"/>
    <n v="0.1"/>
  </r>
  <r>
    <x v="52"/>
    <x v="48"/>
    <x v="42"/>
    <x v="1"/>
    <n v="4475.83"/>
    <n v="7"/>
    <n v="331.99"/>
    <n v="0.05"/>
  </r>
  <r>
    <x v="53"/>
    <x v="35"/>
    <x v="43"/>
    <x v="2"/>
    <n v="1148.3699999999999"/>
    <n v="8"/>
    <n v="200.35"/>
    <n v="0.15"/>
  </r>
  <r>
    <x v="54"/>
    <x v="49"/>
    <x v="4"/>
    <x v="2"/>
    <n v="1113.49"/>
    <n v="1"/>
    <n v="196.02"/>
    <n v="0.2"/>
  </r>
  <r>
    <x v="55"/>
    <x v="50"/>
    <x v="44"/>
    <x v="0"/>
    <n v="2437.1999999999998"/>
    <n v="7"/>
    <n v="811.15"/>
    <n v="0.2"/>
  </r>
  <r>
    <x v="56"/>
    <x v="51"/>
    <x v="11"/>
    <x v="0"/>
    <n v="3699.71"/>
    <n v="4"/>
    <n v="1072.77"/>
    <n v="0.1"/>
  </r>
  <r>
    <x v="57"/>
    <x v="52"/>
    <x v="35"/>
    <x v="2"/>
    <n v="2479.65"/>
    <n v="7"/>
    <n v="413.25"/>
    <n v="0.05"/>
  </r>
  <r>
    <x v="58"/>
    <x v="53"/>
    <x v="40"/>
    <x v="1"/>
    <n v="4605.75"/>
    <n v="7"/>
    <n v="1585.38"/>
    <n v="0.2"/>
  </r>
  <r>
    <x v="59"/>
    <x v="54"/>
    <x v="15"/>
    <x v="1"/>
    <n v="3348.7"/>
    <n v="8"/>
    <n v="251.77"/>
    <n v="0.05"/>
  </r>
  <r>
    <x v="60"/>
    <x v="55"/>
    <x v="45"/>
    <x v="0"/>
    <n v="1374.77"/>
    <n v="6"/>
    <n v="203.75"/>
    <n v="0.15"/>
  </r>
  <r>
    <x v="61"/>
    <x v="56"/>
    <x v="46"/>
    <x v="1"/>
    <n v="3784.85"/>
    <n v="8"/>
    <n v="1133.8599999999999"/>
    <n v="0"/>
  </r>
  <r>
    <x v="62"/>
    <x v="57"/>
    <x v="11"/>
    <x v="1"/>
    <n v="2743.15"/>
    <n v="2"/>
    <n v="960.03"/>
    <n v="0"/>
  </r>
  <r>
    <x v="63"/>
    <x v="58"/>
    <x v="47"/>
    <x v="2"/>
    <n v="252.05"/>
    <n v="3"/>
    <n v="31.3"/>
    <n v="0.05"/>
  </r>
  <r>
    <x v="64"/>
    <x v="59"/>
    <x v="48"/>
    <x v="0"/>
    <n v="2420.4499999999998"/>
    <n v="5"/>
    <n v="204.08"/>
    <n v="0.1"/>
  </r>
  <r>
    <x v="65"/>
    <x v="60"/>
    <x v="49"/>
    <x v="1"/>
    <n v="3068.87"/>
    <n v="5"/>
    <n v="1040.72"/>
    <n v="0"/>
  </r>
  <r>
    <x v="66"/>
    <x v="61"/>
    <x v="23"/>
    <x v="0"/>
    <n v="225.82"/>
    <n v="7"/>
    <n v="32.42"/>
    <n v="0.05"/>
  </r>
  <r>
    <x v="67"/>
    <x v="62"/>
    <x v="22"/>
    <x v="1"/>
    <n v="3001.28"/>
    <n v="5"/>
    <n v="897.9"/>
    <n v="0.2"/>
  </r>
  <r>
    <x v="68"/>
    <x v="26"/>
    <x v="50"/>
    <x v="0"/>
    <n v="4001.51"/>
    <n v="9"/>
    <n v="879.45"/>
    <n v="0.15"/>
  </r>
  <r>
    <x v="69"/>
    <x v="63"/>
    <x v="3"/>
    <x v="1"/>
    <n v="1915.8"/>
    <n v="7"/>
    <n v="386.59"/>
    <n v="0.15"/>
  </r>
  <r>
    <x v="70"/>
    <x v="64"/>
    <x v="51"/>
    <x v="2"/>
    <n v="2224.2600000000002"/>
    <n v="3"/>
    <n v="352.89"/>
    <n v="0.15"/>
  </r>
  <r>
    <x v="71"/>
    <x v="65"/>
    <x v="52"/>
    <x v="2"/>
    <n v="3695.6"/>
    <n v="9"/>
    <n v="1255.18"/>
    <n v="0.15"/>
  </r>
  <r>
    <x v="72"/>
    <x v="66"/>
    <x v="40"/>
    <x v="0"/>
    <n v="2234.3200000000002"/>
    <n v="4"/>
    <n v="601.72"/>
    <n v="0"/>
  </r>
  <r>
    <x v="73"/>
    <x v="67"/>
    <x v="46"/>
    <x v="2"/>
    <n v="4419.99"/>
    <n v="10"/>
    <n v="544.36"/>
    <n v="0.15"/>
  </r>
  <r>
    <x v="74"/>
    <x v="68"/>
    <x v="53"/>
    <x v="0"/>
    <n v="240.63"/>
    <n v="4"/>
    <n v="73.459999999999994"/>
    <n v="0.1"/>
  </r>
  <r>
    <x v="75"/>
    <x v="69"/>
    <x v="9"/>
    <x v="0"/>
    <n v="1767.66"/>
    <n v="9"/>
    <n v="555.21"/>
    <n v="0"/>
  </r>
  <r>
    <x v="76"/>
    <x v="2"/>
    <x v="54"/>
    <x v="0"/>
    <n v="4745.51"/>
    <n v="9"/>
    <n v="359.16"/>
    <n v="0.05"/>
  </r>
  <r>
    <x v="77"/>
    <x v="70"/>
    <x v="55"/>
    <x v="1"/>
    <n v="2432.86"/>
    <n v="2"/>
    <n v="641.19000000000005"/>
    <n v="0.1"/>
  </r>
  <r>
    <x v="78"/>
    <x v="71"/>
    <x v="56"/>
    <x v="2"/>
    <n v="2081.5700000000002"/>
    <n v="6"/>
    <n v="256.02"/>
    <n v="0.15"/>
  </r>
  <r>
    <x v="79"/>
    <x v="72"/>
    <x v="57"/>
    <x v="0"/>
    <n v="2701.52"/>
    <n v="6"/>
    <n v="479.93"/>
    <n v="0.15"/>
  </r>
  <r>
    <x v="80"/>
    <x v="73"/>
    <x v="58"/>
    <x v="0"/>
    <n v="1602.45"/>
    <n v="2"/>
    <n v="190.95"/>
    <n v="0.2"/>
  </r>
  <r>
    <x v="81"/>
    <x v="74"/>
    <x v="59"/>
    <x v="0"/>
    <n v="3481.8"/>
    <n v="10"/>
    <n v="374.16"/>
    <n v="0.2"/>
  </r>
  <r>
    <x v="82"/>
    <x v="75"/>
    <x v="60"/>
    <x v="0"/>
    <n v="1486.69"/>
    <n v="4"/>
    <n v="119.17"/>
    <n v="0.1"/>
  </r>
  <r>
    <x v="83"/>
    <x v="76"/>
    <x v="52"/>
    <x v="0"/>
    <n v="1581.11"/>
    <n v="1"/>
    <n v="414.89"/>
    <n v="0"/>
  </r>
  <r>
    <x v="84"/>
    <x v="47"/>
    <x v="57"/>
    <x v="0"/>
    <n v="1531.47"/>
    <n v="2"/>
    <n v="510.33"/>
    <n v="0"/>
  </r>
  <r>
    <x v="85"/>
    <x v="63"/>
    <x v="61"/>
    <x v="1"/>
    <n v="1493.26"/>
    <n v="1"/>
    <n v="289.12"/>
    <n v="0.1"/>
  </r>
  <r>
    <x v="86"/>
    <x v="77"/>
    <x v="62"/>
    <x v="1"/>
    <n v="659.03"/>
    <n v="10"/>
    <n v="45.87"/>
    <n v="0"/>
  </r>
  <r>
    <x v="87"/>
    <x v="78"/>
    <x v="10"/>
    <x v="1"/>
    <n v="831.07"/>
    <n v="4"/>
    <n v="181.88"/>
    <n v="0"/>
  </r>
  <r>
    <x v="88"/>
    <x v="79"/>
    <x v="63"/>
    <x v="1"/>
    <n v="3845.77"/>
    <n v="9"/>
    <n v="891.82"/>
    <n v="0.15"/>
  </r>
  <r>
    <x v="89"/>
    <x v="80"/>
    <x v="41"/>
    <x v="0"/>
    <n v="4551.67"/>
    <n v="5"/>
    <n v="633.62"/>
    <n v="0.2"/>
  </r>
  <r>
    <x v="90"/>
    <x v="6"/>
    <x v="25"/>
    <x v="1"/>
    <n v="395.13"/>
    <n v="4"/>
    <n v="133.57"/>
    <n v="0.1"/>
  </r>
  <r>
    <x v="91"/>
    <x v="81"/>
    <x v="3"/>
    <x v="1"/>
    <n v="497.82"/>
    <n v="3"/>
    <n v="60.71"/>
    <n v="0"/>
  </r>
  <r>
    <x v="92"/>
    <x v="82"/>
    <x v="64"/>
    <x v="1"/>
    <n v="2307.4699999999998"/>
    <n v="4"/>
    <n v="526.42999999999995"/>
    <n v="0.1"/>
  </r>
  <r>
    <x v="93"/>
    <x v="83"/>
    <x v="43"/>
    <x v="2"/>
    <n v="1485.32"/>
    <n v="4"/>
    <n v="457.3"/>
    <n v="0.1"/>
  </r>
  <r>
    <x v="94"/>
    <x v="84"/>
    <x v="0"/>
    <x v="0"/>
    <n v="2989.97"/>
    <n v="2"/>
    <n v="870.59"/>
    <n v="0.2"/>
  </r>
  <r>
    <x v="95"/>
    <x v="85"/>
    <x v="56"/>
    <x v="1"/>
    <n v="3273.41"/>
    <n v="1"/>
    <n v="1055.75"/>
    <n v="0.05"/>
  </r>
  <r>
    <x v="96"/>
    <x v="86"/>
    <x v="65"/>
    <x v="0"/>
    <n v="3015.72"/>
    <n v="2"/>
    <n v="896.49"/>
    <n v="0.15"/>
  </r>
  <r>
    <x v="97"/>
    <x v="87"/>
    <x v="55"/>
    <x v="2"/>
    <n v="1590.05"/>
    <n v="9"/>
    <n v="271.51"/>
    <n v="0.15"/>
  </r>
  <r>
    <x v="98"/>
    <x v="88"/>
    <x v="6"/>
    <x v="2"/>
    <n v="494.17"/>
    <n v="6"/>
    <n v="30.62"/>
    <n v="0.2"/>
  </r>
  <r>
    <x v="99"/>
    <x v="89"/>
    <x v="66"/>
    <x v="2"/>
    <n v="226.74"/>
    <n v="10"/>
    <n v="26.91"/>
    <n v="0"/>
  </r>
  <r>
    <x v="100"/>
    <x v="90"/>
    <x v="59"/>
    <x v="1"/>
    <n v="3394.18"/>
    <n v="8"/>
    <n v="444.14"/>
    <n v="0.2"/>
  </r>
  <r>
    <x v="101"/>
    <x v="49"/>
    <x v="67"/>
    <x v="0"/>
    <n v="2266.92"/>
    <n v="8"/>
    <n v="302.51"/>
    <n v="0"/>
  </r>
  <r>
    <x v="102"/>
    <x v="91"/>
    <x v="2"/>
    <x v="1"/>
    <n v="1805.01"/>
    <n v="3"/>
    <n v="270.74"/>
    <n v="0.1"/>
  </r>
  <r>
    <x v="103"/>
    <x v="92"/>
    <x v="64"/>
    <x v="2"/>
    <n v="3499"/>
    <n v="1"/>
    <n v="477.49"/>
    <n v="0.15"/>
  </r>
  <r>
    <x v="104"/>
    <x v="93"/>
    <x v="7"/>
    <x v="2"/>
    <n v="1641.13"/>
    <n v="1"/>
    <n v="241.22"/>
    <n v="0.2"/>
  </r>
  <r>
    <x v="105"/>
    <x v="94"/>
    <x v="40"/>
    <x v="2"/>
    <n v="2124.91"/>
    <n v="8"/>
    <n v="225.82"/>
    <n v="0.15"/>
  </r>
  <r>
    <x v="106"/>
    <x v="95"/>
    <x v="59"/>
    <x v="0"/>
    <n v="352.9"/>
    <n v="8"/>
    <n v="45.92"/>
    <n v="0.15"/>
  </r>
  <r>
    <x v="107"/>
    <x v="15"/>
    <x v="50"/>
    <x v="2"/>
    <n v="241.46"/>
    <n v="3"/>
    <n v="57.71"/>
    <n v="0.1"/>
  </r>
  <r>
    <x v="108"/>
    <x v="96"/>
    <x v="57"/>
    <x v="1"/>
    <n v="167"/>
    <n v="8"/>
    <n v="28.79"/>
    <n v="0"/>
  </r>
  <r>
    <x v="109"/>
    <x v="82"/>
    <x v="68"/>
    <x v="2"/>
    <n v="4177.5"/>
    <n v="5"/>
    <n v="833.46"/>
    <n v="0.15"/>
  </r>
  <r>
    <x v="110"/>
    <x v="81"/>
    <x v="62"/>
    <x v="1"/>
    <n v="4903.2"/>
    <n v="7"/>
    <n v="603.67999999999995"/>
    <n v="0.05"/>
  </r>
  <r>
    <x v="111"/>
    <x v="97"/>
    <x v="60"/>
    <x v="0"/>
    <n v="2590.38"/>
    <n v="7"/>
    <n v="812.86"/>
    <n v="0.1"/>
  </r>
  <r>
    <x v="112"/>
    <x v="50"/>
    <x v="69"/>
    <x v="2"/>
    <n v="1409.15"/>
    <n v="10"/>
    <n v="71.540000000000006"/>
    <n v="0.15"/>
  </r>
  <r>
    <x v="113"/>
    <x v="98"/>
    <x v="10"/>
    <x v="2"/>
    <n v="2288.08"/>
    <n v="9"/>
    <n v="446.87"/>
    <n v="0.15"/>
  </r>
  <r>
    <x v="114"/>
    <x v="99"/>
    <x v="27"/>
    <x v="1"/>
    <n v="4670.9799999999996"/>
    <n v="10"/>
    <n v="1452.12"/>
    <n v="0.15"/>
  </r>
  <r>
    <x v="115"/>
    <x v="100"/>
    <x v="70"/>
    <x v="2"/>
    <n v="4294.46"/>
    <n v="8"/>
    <n v="743.94"/>
    <n v="0.15"/>
  </r>
  <r>
    <x v="116"/>
    <x v="101"/>
    <x v="71"/>
    <x v="1"/>
    <n v="4943.2299999999996"/>
    <n v="8"/>
    <n v="1422.26"/>
    <n v="0"/>
  </r>
  <r>
    <x v="117"/>
    <x v="102"/>
    <x v="48"/>
    <x v="0"/>
    <n v="2561.23"/>
    <n v="2"/>
    <n v="581.54"/>
    <n v="0.2"/>
  </r>
  <r>
    <x v="118"/>
    <x v="103"/>
    <x v="27"/>
    <x v="1"/>
    <n v="175.2"/>
    <n v="2"/>
    <n v="16.34"/>
    <n v="0.15"/>
  </r>
  <r>
    <x v="119"/>
    <x v="104"/>
    <x v="9"/>
    <x v="1"/>
    <n v="1758.95"/>
    <n v="6"/>
    <n v="453.48"/>
    <n v="0.2"/>
  </r>
  <r>
    <x v="120"/>
    <x v="105"/>
    <x v="44"/>
    <x v="2"/>
    <n v="4775.28"/>
    <n v="1"/>
    <n v="1136.71"/>
    <n v="0.2"/>
  </r>
  <r>
    <x v="121"/>
    <x v="86"/>
    <x v="72"/>
    <x v="1"/>
    <n v="1250.3699999999999"/>
    <n v="2"/>
    <n v="319.24"/>
    <n v="0.15"/>
  </r>
  <r>
    <x v="122"/>
    <x v="102"/>
    <x v="73"/>
    <x v="0"/>
    <n v="3825.81"/>
    <n v="3"/>
    <n v="999.18"/>
    <n v="0.1"/>
  </r>
  <r>
    <x v="123"/>
    <x v="106"/>
    <x v="26"/>
    <x v="0"/>
    <n v="325.36"/>
    <n v="6"/>
    <n v="93.98"/>
    <n v="0.15"/>
  </r>
  <r>
    <x v="124"/>
    <x v="107"/>
    <x v="74"/>
    <x v="1"/>
    <n v="1296.57"/>
    <n v="3"/>
    <n v="225.1"/>
    <n v="0.05"/>
  </r>
  <r>
    <x v="125"/>
    <x v="107"/>
    <x v="75"/>
    <x v="1"/>
    <n v="3086.51"/>
    <n v="8"/>
    <n v="508.54"/>
    <n v="0.2"/>
  </r>
  <r>
    <x v="126"/>
    <x v="64"/>
    <x v="74"/>
    <x v="0"/>
    <n v="1237.72"/>
    <n v="1"/>
    <n v="298.75"/>
    <n v="0.15"/>
  </r>
  <r>
    <x v="127"/>
    <x v="108"/>
    <x v="76"/>
    <x v="0"/>
    <n v="3420.29"/>
    <n v="10"/>
    <n v="333.11"/>
    <n v="0.1"/>
  </r>
  <r>
    <x v="128"/>
    <x v="109"/>
    <x v="20"/>
    <x v="0"/>
    <n v="4813.9399999999996"/>
    <n v="4"/>
    <n v="1237.6400000000001"/>
    <n v="0.15"/>
  </r>
  <r>
    <x v="129"/>
    <x v="110"/>
    <x v="62"/>
    <x v="2"/>
    <n v="622.6"/>
    <n v="5"/>
    <n v="102.36"/>
    <n v="0.1"/>
  </r>
  <r>
    <x v="130"/>
    <x v="111"/>
    <x v="77"/>
    <x v="1"/>
    <n v="4891.93"/>
    <n v="10"/>
    <n v="1210.5999999999999"/>
    <n v="0"/>
  </r>
  <r>
    <x v="131"/>
    <x v="9"/>
    <x v="78"/>
    <x v="1"/>
    <n v="3751.34"/>
    <n v="10"/>
    <n v="1124.8499999999999"/>
    <n v="0.1"/>
  </r>
  <r>
    <x v="132"/>
    <x v="112"/>
    <x v="56"/>
    <x v="2"/>
    <n v="3219.43"/>
    <n v="3"/>
    <n v="760.65"/>
    <n v="0"/>
  </r>
  <r>
    <x v="133"/>
    <x v="113"/>
    <x v="0"/>
    <x v="1"/>
    <n v="3267.07"/>
    <n v="10"/>
    <n v="466.15"/>
    <n v="0.1"/>
  </r>
  <r>
    <x v="134"/>
    <x v="114"/>
    <x v="29"/>
    <x v="2"/>
    <n v="743.92"/>
    <n v="7"/>
    <n v="240.2"/>
    <n v="0.05"/>
  </r>
  <r>
    <x v="135"/>
    <x v="115"/>
    <x v="37"/>
    <x v="2"/>
    <n v="747.58"/>
    <n v="9"/>
    <n v="158.35"/>
    <n v="0.1"/>
  </r>
  <r>
    <x v="136"/>
    <x v="116"/>
    <x v="49"/>
    <x v="0"/>
    <n v="1359.15"/>
    <n v="6"/>
    <n v="404.22"/>
    <n v="0"/>
  </r>
  <r>
    <x v="137"/>
    <x v="96"/>
    <x v="40"/>
    <x v="2"/>
    <n v="4818.18"/>
    <n v="7"/>
    <n v="444.37"/>
    <n v="0.2"/>
  </r>
  <r>
    <x v="138"/>
    <x v="117"/>
    <x v="31"/>
    <x v="2"/>
    <n v="542.48"/>
    <n v="2"/>
    <n v="91.34"/>
    <n v="0.15"/>
  </r>
  <r>
    <x v="139"/>
    <x v="49"/>
    <x v="79"/>
    <x v="0"/>
    <n v="3396.86"/>
    <n v="6"/>
    <n v="855"/>
    <n v="0"/>
  </r>
  <r>
    <x v="140"/>
    <x v="118"/>
    <x v="12"/>
    <x v="0"/>
    <n v="1245.73"/>
    <n v="10"/>
    <n v="71.64"/>
    <n v="0.05"/>
  </r>
  <r>
    <x v="141"/>
    <x v="119"/>
    <x v="68"/>
    <x v="0"/>
    <n v="409.76"/>
    <n v="7"/>
    <n v="121.76"/>
    <n v="0"/>
  </r>
  <r>
    <x v="142"/>
    <x v="120"/>
    <x v="80"/>
    <x v="1"/>
    <n v="322.2"/>
    <n v="2"/>
    <n v="19.71"/>
    <n v="0.05"/>
  </r>
  <r>
    <x v="143"/>
    <x v="91"/>
    <x v="5"/>
    <x v="2"/>
    <n v="764.75"/>
    <n v="9"/>
    <n v="142.31"/>
    <n v="0.15"/>
  </r>
  <r>
    <x v="144"/>
    <x v="121"/>
    <x v="81"/>
    <x v="2"/>
    <n v="3737.12"/>
    <n v="2"/>
    <n v="360.1"/>
    <n v="0.15"/>
  </r>
  <r>
    <x v="145"/>
    <x v="0"/>
    <x v="34"/>
    <x v="2"/>
    <n v="2099.77"/>
    <n v="6"/>
    <n v="704.38"/>
    <n v="0.05"/>
  </r>
  <r>
    <x v="146"/>
    <x v="94"/>
    <x v="6"/>
    <x v="1"/>
    <n v="2279.0100000000002"/>
    <n v="6"/>
    <n v="275.38"/>
    <n v="0.2"/>
  </r>
  <r>
    <x v="147"/>
    <x v="122"/>
    <x v="68"/>
    <x v="1"/>
    <n v="1857.5"/>
    <n v="8"/>
    <n v="314.74"/>
    <n v="0"/>
  </r>
  <r>
    <x v="148"/>
    <x v="58"/>
    <x v="3"/>
    <x v="1"/>
    <n v="1139.32"/>
    <n v="6"/>
    <n v="275.54000000000002"/>
    <n v="0.05"/>
  </r>
  <r>
    <x v="149"/>
    <x v="123"/>
    <x v="48"/>
    <x v="1"/>
    <n v="3956.19"/>
    <n v="10"/>
    <n v="441.36"/>
    <n v="0.05"/>
  </r>
  <r>
    <x v="150"/>
    <x v="124"/>
    <x v="70"/>
    <x v="1"/>
    <n v="1709.94"/>
    <n v="5"/>
    <n v="161.19"/>
    <n v="0.05"/>
  </r>
  <r>
    <x v="151"/>
    <x v="125"/>
    <x v="48"/>
    <x v="2"/>
    <n v="2747.06"/>
    <n v="1"/>
    <n v="795.42"/>
    <n v="0.05"/>
  </r>
  <r>
    <x v="152"/>
    <x v="80"/>
    <x v="82"/>
    <x v="0"/>
    <n v="1855.39"/>
    <n v="1"/>
    <n v="531.62"/>
    <n v="0.05"/>
  </r>
  <r>
    <x v="153"/>
    <x v="126"/>
    <x v="9"/>
    <x v="1"/>
    <n v="356.76"/>
    <n v="2"/>
    <n v="97.22"/>
    <n v="0.15"/>
  </r>
  <r>
    <x v="154"/>
    <x v="4"/>
    <x v="41"/>
    <x v="0"/>
    <n v="3912.28"/>
    <n v="9"/>
    <n v="797.99"/>
    <n v="0.05"/>
  </r>
  <r>
    <x v="155"/>
    <x v="127"/>
    <x v="34"/>
    <x v="2"/>
    <n v="312.49"/>
    <n v="5"/>
    <n v="89.05"/>
    <n v="0.15"/>
  </r>
  <r>
    <x v="156"/>
    <x v="128"/>
    <x v="68"/>
    <x v="0"/>
    <n v="4823.7299999999996"/>
    <n v="7"/>
    <n v="329.21"/>
    <n v="0"/>
  </r>
  <r>
    <x v="157"/>
    <x v="129"/>
    <x v="83"/>
    <x v="0"/>
    <n v="3590.77"/>
    <n v="10"/>
    <n v="657.36"/>
    <n v="0.05"/>
  </r>
  <r>
    <x v="158"/>
    <x v="49"/>
    <x v="72"/>
    <x v="2"/>
    <n v="718.34"/>
    <n v="6"/>
    <n v="170.46"/>
    <n v="0.15"/>
  </r>
  <r>
    <x v="159"/>
    <x v="21"/>
    <x v="60"/>
    <x v="0"/>
    <n v="2699.73"/>
    <n v="2"/>
    <n v="502.46"/>
    <n v="0"/>
  </r>
  <r>
    <x v="160"/>
    <x v="130"/>
    <x v="67"/>
    <x v="0"/>
    <n v="3289.49"/>
    <n v="8"/>
    <n v="923.32"/>
    <n v="0.05"/>
  </r>
  <r>
    <x v="161"/>
    <x v="121"/>
    <x v="64"/>
    <x v="2"/>
    <n v="1760.76"/>
    <n v="2"/>
    <n v="327.58999999999997"/>
    <n v="0.1"/>
  </r>
  <r>
    <x v="162"/>
    <x v="131"/>
    <x v="84"/>
    <x v="2"/>
    <n v="1631.37"/>
    <n v="8"/>
    <n v="206.31"/>
    <n v="0"/>
  </r>
  <r>
    <x v="163"/>
    <x v="132"/>
    <x v="7"/>
    <x v="2"/>
    <n v="4175.68"/>
    <n v="6"/>
    <n v="325.57"/>
    <n v="0.05"/>
  </r>
  <r>
    <x v="164"/>
    <x v="118"/>
    <x v="63"/>
    <x v="0"/>
    <n v="393.91"/>
    <n v="2"/>
    <n v="132.74"/>
    <n v="0.15"/>
  </r>
  <r>
    <x v="165"/>
    <x v="133"/>
    <x v="24"/>
    <x v="2"/>
    <n v="4380.68"/>
    <n v="1"/>
    <n v="1455.87"/>
    <n v="0.1"/>
  </r>
  <r>
    <x v="166"/>
    <x v="134"/>
    <x v="60"/>
    <x v="1"/>
    <n v="1631"/>
    <n v="3"/>
    <n v="132.24"/>
    <n v="0.15"/>
  </r>
  <r>
    <x v="167"/>
    <x v="135"/>
    <x v="56"/>
    <x v="0"/>
    <n v="4251.6499999999996"/>
    <n v="2"/>
    <n v="659.15"/>
    <n v="0.1"/>
  </r>
  <r>
    <x v="168"/>
    <x v="118"/>
    <x v="61"/>
    <x v="2"/>
    <n v="1208.18"/>
    <n v="10"/>
    <n v="215.94"/>
    <n v="0.2"/>
  </r>
  <r>
    <x v="169"/>
    <x v="136"/>
    <x v="26"/>
    <x v="0"/>
    <n v="3084.08"/>
    <n v="1"/>
    <n v="762.85"/>
    <n v="0.05"/>
  </r>
  <r>
    <x v="170"/>
    <x v="137"/>
    <x v="58"/>
    <x v="0"/>
    <n v="3543.22"/>
    <n v="1"/>
    <n v="505.6"/>
    <n v="0.05"/>
  </r>
  <r>
    <x v="171"/>
    <x v="85"/>
    <x v="74"/>
    <x v="2"/>
    <n v="2874.97"/>
    <n v="1"/>
    <n v="489.42"/>
    <n v="0"/>
  </r>
  <r>
    <x v="172"/>
    <x v="55"/>
    <x v="11"/>
    <x v="0"/>
    <n v="2699.37"/>
    <n v="3"/>
    <n v="439.61"/>
    <n v="0.1"/>
  </r>
  <r>
    <x v="173"/>
    <x v="138"/>
    <x v="65"/>
    <x v="2"/>
    <n v="3635.82"/>
    <n v="2"/>
    <n v="1029.1199999999999"/>
    <n v="0"/>
  </r>
  <r>
    <x v="174"/>
    <x v="89"/>
    <x v="10"/>
    <x v="1"/>
    <n v="871.31"/>
    <n v="5"/>
    <n v="205.06"/>
    <n v="0.15"/>
  </r>
  <r>
    <x v="175"/>
    <x v="121"/>
    <x v="3"/>
    <x v="0"/>
    <n v="2177.67"/>
    <n v="4"/>
    <n v="505.49"/>
    <n v="0.2"/>
  </r>
  <r>
    <x v="176"/>
    <x v="112"/>
    <x v="85"/>
    <x v="2"/>
    <n v="1791.35"/>
    <n v="10"/>
    <n v="149.16"/>
    <n v="0.15"/>
  </r>
  <r>
    <x v="177"/>
    <x v="139"/>
    <x v="86"/>
    <x v="2"/>
    <n v="3368.95"/>
    <n v="1"/>
    <n v="214.35"/>
    <n v="0"/>
  </r>
  <r>
    <x v="178"/>
    <x v="140"/>
    <x v="87"/>
    <x v="0"/>
    <n v="1576.95"/>
    <n v="5"/>
    <n v="178.78"/>
    <n v="0.1"/>
  </r>
  <r>
    <x v="179"/>
    <x v="141"/>
    <x v="50"/>
    <x v="1"/>
    <n v="137.88"/>
    <n v="7"/>
    <n v="37.79"/>
    <n v="0.2"/>
  </r>
  <r>
    <x v="180"/>
    <x v="52"/>
    <x v="43"/>
    <x v="0"/>
    <n v="1227.54"/>
    <n v="2"/>
    <n v="267.13"/>
    <n v="0.15"/>
  </r>
  <r>
    <x v="181"/>
    <x v="142"/>
    <x v="88"/>
    <x v="0"/>
    <n v="307.27999999999997"/>
    <n v="10"/>
    <n v="17.09"/>
    <n v="0.15"/>
  </r>
  <r>
    <x v="182"/>
    <x v="143"/>
    <x v="61"/>
    <x v="1"/>
    <n v="2081.67"/>
    <n v="7"/>
    <n v="503.85"/>
    <n v="0"/>
  </r>
  <r>
    <x v="183"/>
    <x v="64"/>
    <x v="89"/>
    <x v="2"/>
    <n v="942.18"/>
    <n v="6"/>
    <n v="314.95999999999998"/>
    <n v="0"/>
  </r>
  <r>
    <x v="184"/>
    <x v="80"/>
    <x v="35"/>
    <x v="0"/>
    <n v="4237.97"/>
    <n v="9"/>
    <n v="521.25"/>
    <n v="0"/>
  </r>
  <r>
    <x v="185"/>
    <x v="144"/>
    <x v="90"/>
    <x v="0"/>
    <n v="4365.57"/>
    <n v="3"/>
    <n v="1195.04"/>
    <n v="0"/>
  </r>
  <r>
    <x v="186"/>
    <x v="75"/>
    <x v="36"/>
    <x v="0"/>
    <n v="3202.8"/>
    <n v="6"/>
    <n v="669.97"/>
    <n v="0.05"/>
  </r>
  <r>
    <x v="187"/>
    <x v="145"/>
    <x v="1"/>
    <x v="2"/>
    <n v="603.74"/>
    <n v="3"/>
    <n v="76.55"/>
    <n v="0"/>
  </r>
  <r>
    <x v="188"/>
    <x v="67"/>
    <x v="52"/>
    <x v="2"/>
    <n v="4761.33"/>
    <n v="10"/>
    <n v="1135.03"/>
    <n v="0.15"/>
  </r>
  <r>
    <x v="189"/>
    <x v="146"/>
    <x v="19"/>
    <x v="2"/>
    <n v="4628.3599999999997"/>
    <n v="6"/>
    <n v="1015.22"/>
    <n v="0.1"/>
  </r>
  <r>
    <x v="190"/>
    <x v="147"/>
    <x v="10"/>
    <x v="0"/>
    <n v="2254.84"/>
    <n v="5"/>
    <n v="429.94"/>
    <n v="0.2"/>
  </r>
  <r>
    <x v="191"/>
    <x v="148"/>
    <x v="4"/>
    <x v="0"/>
    <n v="1824.52"/>
    <n v="1"/>
    <n v="131.83000000000001"/>
    <n v="0"/>
  </r>
  <r>
    <x v="192"/>
    <x v="149"/>
    <x v="79"/>
    <x v="2"/>
    <n v="4175.3100000000004"/>
    <n v="10"/>
    <n v="304.88"/>
    <n v="0.2"/>
  </r>
  <r>
    <x v="193"/>
    <x v="26"/>
    <x v="71"/>
    <x v="0"/>
    <n v="2367.29"/>
    <n v="10"/>
    <n v="512.03"/>
    <n v="0.05"/>
  </r>
  <r>
    <x v="194"/>
    <x v="150"/>
    <x v="89"/>
    <x v="0"/>
    <n v="3064.53"/>
    <n v="2"/>
    <n v="614.16"/>
    <n v="0.1"/>
  </r>
  <r>
    <x v="195"/>
    <x v="90"/>
    <x v="91"/>
    <x v="1"/>
    <n v="513.21"/>
    <n v="8"/>
    <n v="125.14"/>
    <n v="0.15"/>
  </r>
  <r>
    <x v="196"/>
    <x v="151"/>
    <x v="86"/>
    <x v="0"/>
    <n v="2661.47"/>
    <n v="7"/>
    <n v="259.82"/>
    <n v="0.15"/>
  </r>
  <r>
    <x v="197"/>
    <x v="147"/>
    <x v="92"/>
    <x v="2"/>
    <n v="1758"/>
    <n v="6"/>
    <n v="403.23"/>
    <n v="0"/>
  </r>
  <r>
    <x v="198"/>
    <x v="152"/>
    <x v="93"/>
    <x v="0"/>
    <n v="563.08000000000004"/>
    <n v="10"/>
    <n v="142.75"/>
    <n v="0.05"/>
  </r>
  <r>
    <x v="199"/>
    <x v="57"/>
    <x v="93"/>
    <x v="0"/>
    <n v="499.36"/>
    <n v="7"/>
    <n v="124.38"/>
    <n v="0.05"/>
  </r>
  <r>
    <x v="200"/>
    <x v="153"/>
    <x v="60"/>
    <x v="0"/>
    <n v="3573.29"/>
    <n v="6"/>
    <n v="269.48"/>
    <n v="0.05"/>
  </r>
  <r>
    <x v="201"/>
    <x v="154"/>
    <x v="14"/>
    <x v="2"/>
    <n v="3543.87"/>
    <n v="2"/>
    <n v="1184.1199999999999"/>
    <n v="0.15"/>
  </r>
  <r>
    <x v="202"/>
    <x v="155"/>
    <x v="36"/>
    <x v="1"/>
    <n v="1872.96"/>
    <n v="6"/>
    <n v="297.39"/>
    <n v="0.15"/>
  </r>
  <r>
    <x v="203"/>
    <x v="142"/>
    <x v="30"/>
    <x v="0"/>
    <n v="1210.06"/>
    <n v="2"/>
    <n v="110.44"/>
    <n v="0.2"/>
  </r>
  <r>
    <x v="204"/>
    <x v="126"/>
    <x v="94"/>
    <x v="1"/>
    <n v="2744.88"/>
    <n v="6"/>
    <n v="745.49"/>
    <n v="0.2"/>
  </r>
  <r>
    <x v="205"/>
    <x v="155"/>
    <x v="48"/>
    <x v="2"/>
    <n v="3026.51"/>
    <n v="10"/>
    <n v="291.38"/>
    <n v="0.05"/>
  </r>
  <r>
    <x v="206"/>
    <x v="61"/>
    <x v="32"/>
    <x v="2"/>
    <n v="2244.6"/>
    <n v="4"/>
    <n v="388.89"/>
    <n v="0.15"/>
  </r>
  <r>
    <x v="207"/>
    <x v="70"/>
    <x v="34"/>
    <x v="1"/>
    <n v="1496.15"/>
    <n v="9"/>
    <n v="410.78"/>
    <n v="0.05"/>
  </r>
  <r>
    <x v="208"/>
    <x v="75"/>
    <x v="65"/>
    <x v="0"/>
    <n v="4831.42"/>
    <n v="10"/>
    <n v="1378.46"/>
    <n v="0.15"/>
  </r>
  <r>
    <x v="209"/>
    <x v="156"/>
    <x v="40"/>
    <x v="2"/>
    <n v="3870.25"/>
    <n v="7"/>
    <n v="1096.97"/>
    <n v="0.05"/>
  </r>
  <r>
    <x v="210"/>
    <x v="157"/>
    <x v="37"/>
    <x v="1"/>
    <n v="4026.17"/>
    <n v="8"/>
    <n v="368.47"/>
    <n v="0.1"/>
  </r>
  <r>
    <x v="211"/>
    <x v="158"/>
    <x v="57"/>
    <x v="1"/>
    <n v="4678.04"/>
    <n v="5"/>
    <n v="1232.29"/>
    <n v="0"/>
  </r>
  <r>
    <x v="212"/>
    <x v="159"/>
    <x v="59"/>
    <x v="1"/>
    <n v="885.53"/>
    <n v="7"/>
    <n v="163.63999999999999"/>
    <n v="0"/>
  </r>
  <r>
    <x v="213"/>
    <x v="160"/>
    <x v="56"/>
    <x v="0"/>
    <n v="4101.8500000000004"/>
    <n v="1"/>
    <n v="1293.68"/>
    <n v="0.15"/>
  </r>
  <r>
    <x v="214"/>
    <x v="129"/>
    <x v="69"/>
    <x v="0"/>
    <n v="1932.41"/>
    <n v="4"/>
    <n v="320.49"/>
    <n v="0"/>
  </r>
  <r>
    <x v="215"/>
    <x v="104"/>
    <x v="42"/>
    <x v="0"/>
    <n v="4661.05"/>
    <n v="3"/>
    <n v="1406.49"/>
    <n v="0.05"/>
  </r>
  <r>
    <x v="216"/>
    <x v="42"/>
    <x v="95"/>
    <x v="1"/>
    <n v="1505.71"/>
    <n v="8"/>
    <n v="450.1"/>
    <n v="0.15"/>
  </r>
  <r>
    <x v="217"/>
    <x v="161"/>
    <x v="34"/>
    <x v="1"/>
    <n v="125.73"/>
    <n v="3"/>
    <n v="9.27"/>
    <n v="0.2"/>
  </r>
  <r>
    <x v="218"/>
    <x v="86"/>
    <x v="29"/>
    <x v="1"/>
    <n v="3083.51"/>
    <n v="5"/>
    <n v="545.71"/>
    <n v="0"/>
  </r>
  <r>
    <x v="219"/>
    <x v="162"/>
    <x v="45"/>
    <x v="0"/>
    <n v="1268.3499999999999"/>
    <n v="2"/>
    <n v="306.54000000000002"/>
    <n v="0"/>
  </r>
  <r>
    <x v="220"/>
    <x v="163"/>
    <x v="96"/>
    <x v="2"/>
    <n v="3024.02"/>
    <n v="4"/>
    <n v="166.11"/>
    <n v="0.05"/>
  </r>
  <r>
    <x v="221"/>
    <x v="164"/>
    <x v="97"/>
    <x v="2"/>
    <n v="2203.27"/>
    <n v="7"/>
    <n v="516.54"/>
    <n v="0.05"/>
  </r>
  <r>
    <x v="222"/>
    <x v="165"/>
    <x v="14"/>
    <x v="1"/>
    <n v="3374.25"/>
    <n v="9"/>
    <n v="698.62"/>
    <n v="0.2"/>
  </r>
  <r>
    <x v="223"/>
    <x v="58"/>
    <x v="69"/>
    <x v="0"/>
    <n v="3953.42"/>
    <n v="8"/>
    <n v="799.72"/>
    <n v="0"/>
  </r>
  <r>
    <x v="224"/>
    <x v="166"/>
    <x v="20"/>
    <x v="0"/>
    <n v="1995.72"/>
    <n v="2"/>
    <n v="323.29000000000002"/>
    <n v="0.1"/>
  </r>
  <r>
    <x v="225"/>
    <x v="167"/>
    <x v="1"/>
    <x v="2"/>
    <n v="3691.41"/>
    <n v="6"/>
    <n v="880.32"/>
    <n v="0.05"/>
  </r>
  <r>
    <x v="226"/>
    <x v="168"/>
    <x v="13"/>
    <x v="1"/>
    <n v="1826.27"/>
    <n v="8"/>
    <n v="276.8"/>
    <n v="0.15"/>
  </r>
  <r>
    <x v="227"/>
    <x v="169"/>
    <x v="0"/>
    <x v="1"/>
    <n v="993.16"/>
    <n v="5"/>
    <n v="89.84"/>
    <n v="0.05"/>
  </r>
  <r>
    <x v="228"/>
    <x v="170"/>
    <x v="13"/>
    <x v="0"/>
    <n v="3976.44"/>
    <n v="9"/>
    <n v="1255.51"/>
    <n v="0.15"/>
  </r>
  <r>
    <x v="229"/>
    <x v="171"/>
    <x v="17"/>
    <x v="1"/>
    <n v="2419.66"/>
    <n v="5"/>
    <n v="147.57"/>
    <n v="0.1"/>
  </r>
  <r>
    <x v="230"/>
    <x v="87"/>
    <x v="92"/>
    <x v="1"/>
    <n v="334.24"/>
    <n v="6"/>
    <n v="82.46"/>
    <n v="0.15"/>
  </r>
  <r>
    <x v="231"/>
    <x v="172"/>
    <x v="28"/>
    <x v="0"/>
    <n v="3742.21"/>
    <n v="3"/>
    <n v="1191.49"/>
    <n v="0.15"/>
  </r>
  <r>
    <x v="232"/>
    <x v="173"/>
    <x v="55"/>
    <x v="0"/>
    <n v="2537.86"/>
    <n v="2"/>
    <n v="830.62"/>
    <n v="0.15"/>
  </r>
  <r>
    <x v="233"/>
    <x v="155"/>
    <x v="75"/>
    <x v="2"/>
    <n v="2209.98"/>
    <n v="5"/>
    <n v="770.24"/>
    <n v="0.1"/>
  </r>
  <r>
    <x v="234"/>
    <x v="174"/>
    <x v="51"/>
    <x v="0"/>
    <n v="492.34"/>
    <n v="10"/>
    <n v="122.24"/>
    <n v="0.15"/>
  </r>
  <r>
    <x v="235"/>
    <x v="26"/>
    <x v="49"/>
    <x v="2"/>
    <n v="3479.85"/>
    <n v="6"/>
    <n v="540.99"/>
    <n v="0.2"/>
  </r>
  <r>
    <x v="236"/>
    <x v="10"/>
    <x v="35"/>
    <x v="1"/>
    <n v="1445.32"/>
    <n v="7"/>
    <n v="497.2"/>
    <n v="0.1"/>
  </r>
  <r>
    <x v="237"/>
    <x v="175"/>
    <x v="36"/>
    <x v="1"/>
    <n v="4025.37"/>
    <n v="10"/>
    <n v="1021.73"/>
    <n v="0.15"/>
  </r>
  <r>
    <x v="238"/>
    <x v="176"/>
    <x v="95"/>
    <x v="0"/>
    <n v="718.53"/>
    <n v="6"/>
    <n v="86.8"/>
    <n v="0.15"/>
  </r>
  <r>
    <x v="239"/>
    <x v="177"/>
    <x v="15"/>
    <x v="0"/>
    <n v="258.69"/>
    <n v="6"/>
    <n v="24.84"/>
    <n v="0.15"/>
  </r>
  <r>
    <x v="240"/>
    <x v="115"/>
    <x v="59"/>
    <x v="0"/>
    <n v="476.74"/>
    <n v="6"/>
    <n v="43.53"/>
    <n v="0.1"/>
  </r>
  <r>
    <x v="241"/>
    <x v="12"/>
    <x v="39"/>
    <x v="0"/>
    <n v="4806.55"/>
    <n v="9"/>
    <n v="277.69"/>
    <n v="0.15"/>
  </r>
  <r>
    <x v="242"/>
    <x v="178"/>
    <x v="63"/>
    <x v="0"/>
    <n v="677.03"/>
    <n v="4"/>
    <n v="191.25"/>
    <n v="0.2"/>
  </r>
  <r>
    <x v="243"/>
    <x v="179"/>
    <x v="76"/>
    <x v="1"/>
    <n v="3500.51"/>
    <n v="3"/>
    <n v="1223.74"/>
    <n v="0"/>
  </r>
  <r>
    <x v="244"/>
    <x v="180"/>
    <x v="41"/>
    <x v="2"/>
    <n v="946.02"/>
    <n v="6"/>
    <n v="249.76"/>
    <n v="0.1"/>
  </r>
  <r>
    <x v="245"/>
    <x v="181"/>
    <x v="43"/>
    <x v="1"/>
    <n v="418.2"/>
    <n v="3"/>
    <n v="88.93"/>
    <n v="0.1"/>
  </r>
  <r>
    <x v="246"/>
    <x v="182"/>
    <x v="36"/>
    <x v="1"/>
    <n v="1198.78"/>
    <n v="8"/>
    <n v="414.23"/>
    <n v="0"/>
  </r>
  <r>
    <x v="247"/>
    <x v="81"/>
    <x v="31"/>
    <x v="1"/>
    <n v="2814.71"/>
    <n v="10"/>
    <n v="452.25"/>
    <n v="0"/>
  </r>
  <r>
    <x v="248"/>
    <x v="128"/>
    <x v="72"/>
    <x v="2"/>
    <n v="1615.52"/>
    <n v="7"/>
    <n v="565.24"/>
    <n v="0.15"/>
  </r>
  <r>
    <x v="249"/>
    <x v="183"/>
    <x v="61"/>
    <x v="1"/>
    <n v="461.38"/>
    <n v="8"/>
    <n v="157.66"/>
    <n v="0.15"/>
  </r>
  <r>
    <x v="250"/>
    <x v="81"/>
    <x v="19"/>
    <x v="2"/>
    <n v="2635.06"/>
    <n v="10"/>
    <n v="233.2"/>
    <n v="0.05"/>
  </r>
  <r>
    <x v="251"/>
    <x v="184"/>
    <x v="94"/>
    <x v="1"/>
    <n v="4834.7"/>
    <n v="9"/>
    <n v="869.21"/>
    <n v="0.05"/>
  </r>
  <r>
    <x v="252"/>
    <x v="185"/>
    <x v="18"/>
    <x v="1"/>
    <n v="906.82"/>
    <n v="6"/>
    <n v="133.12"/>
    <n v="0.2"/>
  </r>
  <r>
    <x v="253"/>
    <x v="146"/>
    <x v="76"/>
    <x v="2"/>
    <n v="4245.08"/>
    <n v="5"/>
    <n v="531.41"/>
    <n v="0.05"/>
  </r>
  <r>
    <x v="254"/>
    <x v="156"/>
    <x v="0"/>
    <x v="2"/>
    <n v="1583.84"/>
    <n v="3"/>
    <n v="332.68"/>
    <n v="0.2"/>
  </r>
  <r>
    <x v="255"/>
    <x v="21"/>
    <x v="23"/>
    <x v="0"/>
    <n v="855.55"/>
    <n v="10"/>
    <n v="211.85"/>
    <n v="0"/>
  </r>
  <r>
    <x v="256"/>
    <x v="186"/>
    <x v="26"/>
    <x v="0"/>
    <n v="497.99"/>
    <n v="4"/>
    <n v="166.61"/>
    <n v="0.2"/>
  </r>
  <r>
    <x v="257"/>
    <x v="187"/>
    <x v="38"/>
    <x v="2"/>
    <n v="3128.73"/>
    <n v="5"/>
    <n v="184.86"/>
    <n v="0.1"/>
  </r>
  <r>
    <x v="258"/>
    <x v="188"/>
    <x v="62"/>
    <x v="0"/>
    <n v="1299.9000000000001"/>
    <n v="8"/>
    <n v="379.84"/>
    <n v="0"/>
  </r>
  <r>
    <x v="259"/>
    <x v="74"/>
    <x v="55"/>
    <x v="0"/>
    <n v="393.57"/>
    <n v="4"/>
    <n v="71.58"/>
    <n v="0.1"/>
  </r>
  <r>
    <x v="260"/>
    <x v="189"/>
    <x v="78"/>
    <x v="2"/>
    <n v="803.98"/>
    <n v="6"/>
    <n v="247.98"/>
    <n v="0.15"/>
  </r>
  <r>
    <x v="261"/>
    <x v="43"/>
    <x v="48"/>
    <x v="0"/>
    <n v="3827.26"/>
    <n v="4"/>
    <n v="782.65"/>
    <n v="0.15"/>
  </r>
  <r>
    <x v="262"/>
    <x v="132"/>
    <x v="50"/>
    <x v="1"/>
    <n v="1410.61"/>
    <n v="5"/>
    <n v="175.45"/>
    <n v="0.15"/>
  </r>
  <r>
    <x v="263"/>
    <x v="190"/>
    <x v="34"/>
    <x v="0"/>
    <n v="2148.86"/>
    <n v="10"/>
    <n v="728.05"/>
    <n v="0.1"/>
  </r>
  <r>
    <x v="264"/>
    <x v="163"/>
    <x v="30"/>
    <x v="0"/>
    <n v="3839.29"/>
    <n v="8"/>
    <n v="765.86"/>
    <n v="0.1"/>
  </r>
  <r>
    <x v="265"/>
    <x v="191"/>
    <x v="96"/>
    <x v="0"/>
    <n v="213.56"/>
    <n v="4"/>
    <n v="71.239999999999995"/>
    <n v="0.05"/>
  </r>
  <r>
    <x v="266"/>
    <x v="192"/>
    <x v="23"/>
    <x v="2"/>
    <n v="1829.19"/>
    <n v="8"/>
    <n v="119.19"/>
    <n v="0.1"/>
  </r>
  <r>
    <x v="267"/>
    <x v="20"/>
    <x v="5"/>
    <x v="0"/>
    <n v="140.07"/>
    <n v="6"/>
    <n v="11.52"/>
    <n v="0.15"/>
  </r>
  <r>
    <x v="268"/>
    <x v="118"/>
    <x v="31"/>
    <x v="1"/>
    <n v="321.69"/>
    <n v="6"/>
    <n v="21.02"/>
    <n v="0.2"/>
  </r>
  <r>
    <x v="269"/>
    <x v="72"/>
    <x v="76"/>
    <x v="0"/>
    <n v="460.31"/>
    <n v="10"/>
    <n v="92.65"/>
    <n v="0.2"/>
  </r>
  <r>
    <x v="270"/>
    <x v="193"/>
    <x v="50"/>
    <x v="0"/>
    <n v="730.45"/>
    <n v="9"/>
    <n v="57.71"/>
    <n v="0.1"/>
  </r>
  <r>
    <x v="271"/>
    <x v="92"/>
    <x v="47"/>
    <x v="2"/>
    <n v="806.91"/>
    <n v="1"/>
    <n v="186.19"/>
    <n v="0"/>
  </r>
  <r>
    <x v="272"/>
    <x v="194"/>
    <x v="95"/>
    <x v="2"/>
    <n v="771.48"/>
    <n v="8"/>
    <n v="115.65"/>
    <n v="0.05"/>
  </r>
  <r>
    <x v="273"/>
    <x v="195"/>
    <x v="78"/>
    <x v="0"/>
    <n v="4476.3500000000004"/>
    <n v="3"/>
    <n v="411.53"/>
    <n v="0.15"/>
  </r>
  <r>
    <x v="274"/>
    <x v="196"/>
    <x v="34"/>
    <x v="2"/>
    <n v="3722.66"/>
    <n v="9"/>
    <n v="520.32000000000005"/>
    <n v="0.2"/>
  </r>
  <r>
    <x v="275"/>
    <x v="166"/>
    <x v="83"/>
    <x v="0"/>
    <n v="3572.83"/>
    <n v="6"/>
    <n v="499.97"/>
    <n v="0"/>
  </r>
  <r>
    <x v="276"/>
    <x v="197"/>
    <x v="38"/>
    <x v="2"/>
    <n v="2960.14"/>
    <n v="1"/>
    <n v="855.56"/>
    <n v="0.2"/>
  </r>
  <r>
    <x v="277"/>
    <x v="198"/>
    <x v="2"/>
    <x v="2"/>
    <n v="1401.1"/>
    <n v="4"/>
    <n v="345.62"/>
    <n v="0"/>
  </r>
  <r>
    <x v="278"/>
    <x v="199"/>
    <x v="23"/>
    <x v="0"/>
    <n v="2454.1999999999998"/>
    <n v="3"/>
    <n v="508.68"/>
    <n v="0.05"/>
  </r>
  <r>
    <x v="279"/>
    <x v="122"/>
    <x v="95"/>
    <x v="1"/>
    <n v="2905.59"/>
    <n v="8"/>
    <n v="755.91"/>
    <n v="0.1"/>
  </r>
  <r>
    <x v="280"/>
    <x v="29"/>
    <x v="38"/>
    <x v="2"/>
    <n v="842.01"/>
    <n v="10"/>
    <n v="216.52"/>
    <n v="0.15"/>
  </r>
  <r>
    <x v="281"/>
    <x v="173"/>
    <x v="88"/>
    <x v="1"/>
    <n v="3664.27"/>
    <n v="9"/>
    <n v="959.06"/>
    <n v="0.1"/>
  </r>
  <r>
    <x v="282"/>
    <x v="145"/>
    <x v="3"/>
    <x v="0"/>
    <n v="2444.02"/>
    <n v="9"/>
    <n v="398.49"/>
    <n v="0.1"/>
  </r>
  <r>
    <x v="283"/>
    <x v="200"/>
    <x v="17"/>
    <x v="2"/>
    <n v="1836.01"/>
    <n v="5"/>
    <n v="517.01"/>
    <n v="0.2"/>
  </r>
  <r>
    <x v="284"/>
    <x v="201"/>
    <x v="62"/>
    <x v="0"/>
    <n v="1042.0899999999999"/>
    <n v="4"/>
    <n v="129.16999999999999"/>
    <n v="0.1"/>
  </r>
  <r>
    <x v="285"/>
    <x v="178"/>
    <x v="94"/>
    <x v="0"/>
    <n v="1516.12"/>
    <n v="6"/>
    <n v="170.08"/>
    <n v="0.15"/>
  </r>
  <r>
    <x v="286"/>
    <x v="111"/>
    <x v="16"/>
    <x v="0"/>
    <n v="2846.39"/>
    <n v="2"/>
    <n v="940.29"/>
    <n v="0.2"/>
  </r>
  <r>
    <x v="287"/>
    <x v="139"/>
    <x v="12"/>
    <x v="0"/>
    <n v="2761.64"/>
    <n v="3"/>
    <n v="880.21"/>
    <n v="0.1"/>
  </r>
  <r>
    <x v="288"/>
    <x v="202"/>
    <x v="13"/>
    <x v="0"/>
    <n v="1509.39"/>
    <n v="5"/>
    <n v="398.84"/>
    <n v="0.15"/>
  </r>
  <r>
    <x v="289"/>
    <x v="118"/>
    <x v="8"/>
    <x v="2"/>
    <n v="1090.1300000000001"/>
    <n v="5"/>
    <n v="230.64"/>
    <n v="0.05"/>
  </r>
  <r>
    <x v="290"/>
    <x v="62"/>
    <x v="51"/>
    <x v="1"/>
    <n v="3116.82"/>
    <n v="9"/>
    <n v="704.55"/>
    <n v="0.05"/>
  </r>
  <r>
    <x v="291"/>
    <x v="35"/>
    <x v="20"/>
    <x v="2"/>
    <n v="1240.9000000000001"/>
    <n v="8"/>
    <n v="99.35"/>
    <n v="0"/>
  </r>
  <r>
    <x v="292"/>
    <x v="72"/>
    <x v="19"/>
    <x v="1"/>
    <n v="3876.75"/>
    <n v="7"/>
    <n v="199.86"/>
    <n v="0.15"/>
  </r>
  <r>
    <x v="293"/>
    <x v="86"/>
    <x v="62"/>
    <x v="0"/>
    <n v="3287.64"/>
    <n v="5"/>
    <n v="909.93"/>
    <n v="0"/>
  </r>
  <r>
    <x v="294"/>
    <x v="53"/>
    <x v="94"/>
    <x v="2"/>
    <n v="538.36"/>
    <n v="1"/>
    <n v="119.65"/>
    <n v="0.05"/>
  </r>
  <r>
    <x v="295"/>
    <x v="203"/>
    <x v="38"/>
    <x v="0"/>
    <n v="4423"/>
    <n v="8"/>
    <n v="454.4"/>
    <n v="0.05"/>
  </r>
  <r>
    <x v="296"/>
    <x v="30"/>
    <x v="11"/>
    <x v="1"/>
    <n v="4814.4399999999996"/>
    <n v="5"/>
    <n v="1578.23"/>
    <n v="0.2"/>
  </r>
  <r>
    <x v="297"/>
    <x v="152"/>
    <x v="78"/>
    <x v="0"/>
    <n v="625.77"/>
    <n v="9"/>
    <n v="215.83"/>
    <n v="0.2"/>
  </r>
  <r>
    <x v="298"/>
    <x v="191"/>
    <x v="96"/>
    <x v="0"/>
    <n v="4457.37"/>
    <n v="5"/>
    <n v="402.32"/>
    <n v="0.05"/>
  </r>
  <r>
    <x v="299"/>
    <x v="171"/>
    <x v="85"/>
    <x v="0"/>
    <n v="1720.35"/>
    <n v="3"/>
    <n v="463.35"/>
    <n v="0"/>
  </r>
  <r>
    <x v="300"/>
    <x v="89"/>
    <x v="88"/>
    <x v="1"/>
    <n v="1751.85"/>
    <n v="3"/>
    <n v="242.64"/>
    <n v="0.2"/>
  </r>
  <r>
    <x v="301"/>
    <x v="163"/>
    <x v="20"/>
    <x v="0"/>
    <n v="4495.51"/>
    <n v="2"/>
    <n v="1340.1"/>
    <n v="0.15"/>
  </r>
  <r>
    <x v="302"/>
    <x v="11"/>
    <x v="14"/>
    <x v="0"/>
    <n v="567.39"/>
    <n v="4"/>
    <n v="195.47"/>
    <n v="0"/>
  </r>
  <r>
    <x v="303"/>
    <x v="204"/>
    <x v="9"/>
    <x v="0"/>
    <n v="1979.51"/>
    <n v="5"/>
    <n v="364.27"/>
    <n v="0.2"/>
  </r>
  <r>
    <x v="304"/>
    <x v="165"/>
    <x v="32"/>
    <x v="2"/>
    <n v="2907.1"/>
    <n v="4"/>
    <n v="373.46"/>
    <n v="0"/>
  </r>
  <r>
    <x v="305"/>
    <x v="188"/>
    <x v="14"/>
    <x v="2"/>
    <n v="679.3"/>
    <n v="9"/>
    <n v="96.49"/>
    <n v="0.1"/>
  </r>
  <r>
    <x v="306"/>
    <x v="205"/>
    <x v="55"/>
    <x v="0"/>
    <n v="675.34"/>
    <n v="10"/>
    <n v="219.38"/>
    <n v="0.05"/>
  </r>
  <r>
    <x v="307"/>
    <x v="55"/>
    <x v="56"/>
    <x v="2"/>
    <n v="4791.07"/>
    <n v="10"/>
    <n v="926.85"/>
    <n v="0.1"/>
  </r>
  <r>
    <x v="308"/>
    <x v="206"/>
    <x v="38"/>
    <x v="2"/>
    <n v="3539.51"/>
    <n v="4"/>
    <n v="1146.23"/>
    <n v="0.05"/>
  </r>
  <r>
    <x v="309"/>
    <x v="129"/>
    <x v="19"/>
    <x v="2"/>
    <n v="3798.22"/>
    <n v="8"/>
    <n v="1184.82"/>
    <n v="0.2"/>
  </r>
  <r>
    <x v="310"/>
    <x v="207"/>
    <x v="43"/>
    <x v="1"/>
    <n v="1872.75"/>
    <n v="9"/>
    <n v="608.97"/>
    <n v="0.2"/>
  </r>
  <r>
    <x v="311"/>
    <x v="114"/>
    <x v="37"/>
    <x v="2"/>
    <n v="2906.24"/>
    <n v="8"/>
    <n v="275.95999999999998"/>
    <n v="0"/>
  </r>
  <r>
    <x v="312"/>
    <x v="149"/>
    <x v="19"/>
    <x v="2"/>
    <n v="1106.47"/>
    <n v="8"/>
    <n v="248.89"/>
    <n v="0"/>
  </r>
  <r>
    <x v="313"/>
    <x v="208"/>
    <x v="27"/>
    <x v="1"/>
    <n v="746.53"/>
    <n v="9"/>
    <n v="130.36000000000001"/>
    <n v="0.15"/>
  </r>
  <r>
    <x v="314"/>
    <x v="139"/>
    <x v="12"/>
    <x v="0"/>
    <n v="4053.89"/>
    <n v="1"/>
    <n v="1082.32"/>
    <n v="0.05"/>
  </r>
  <r>
    <x v="315"/>
    <x v="119"/>
    <x v="23"/>
    <x v="1"/>
    <n v="457.84"/>
    <n v="9"/>
    <n v="81.09"/>
    <n v="0"/>
  </r>
  <r>
    <x v="316"/>
    <x v="9"/>
    <x v="72"/>
    <x v="0"/>
    <n v="4932.07"/>
    <n v="3"/>
    <n v="945.09"/>
    <n v="0.05"/>
  </r>
  <r>
    <x v="317"/>
    <x v="37"/>
    <x v="94"/>
    <x v="0"/>
    <n v="3243.47"/>
    <n v="7"/>
    <n v="871.8"/>
    <n v="0.15"/>
  </r>
  <r>
    <x v="318"/>
    <x v="209"/>
    <x v="44"/>
    <x v="2"/>
    <n v="1940.66"/>
    <n v="3"/>
    <n v="494.52"/>
    <n v="0.1"/>
  </r>
  <r>
    <x v="319"/>
    <x v="210"/>
    <x v="50"/>
    <x v="1"/>
    <n v="974.52"/>
    <n v="4"/>
    <n v="205.8"/>
    <n v="0"/>
  </r>
  <r>
    <x v="320"/>
    <x v="211"/>
    <x v="47"/>
    <x v="2"/>
    <n v="211.4"/>
    <n v="9"/>
    <n v="29.49"/>
    <n v="0.15"/>
  </r>
  <r>
    <x v="321"/>
    <x v="64"/>
    <x v="5"/>
    <x v="0"/>
    <n v="1958.45"/>
    <n v="3"/>
    <n v="232.86"/>
    <n v="0.1"/>
  </r>
  <r>
    <x v="322"/>
    <x v="207"/>
    <x v="30"/>
    <x v="1"/>
    <n v="4693.3100000000004"/>
    <n v="7"/>
    <n v="1255.49"/>
    <n v="0.2"/>
  </r>
  <r>
    <x v="323"/>
    <x v="164"/>
    <x v="94"/>
    <x v="1"/>
    <n v="4687.57"/>
    <n v="2"/>
    <n v="1484.61"/>
    <n v="0"/>
  </r>
  <r>
    <x v="324"/>
    <x v="178"/>
    <x v="60"/>
    <x v="1"/>
    <n v="264.52"/>
    <n v="4"/>
    <n v="60.66"/>
    <n v="0"/>
  </r>
  <r>
    <x v="325"/>
    <x v="184"/>
    <x v="28"/>
    <x v="1"/>
    <n v="2250.92"/>
    <n v="9"/>
    <n v="477.03"/>
    <n v="0.1"/>
  </r>
  <r>
    <x v="326"/>
    <x v="189"/>
    <x v="70"/>
    <x v="2"/>
    <n v="4097.3500000000004"/>
    <n v="10"/>
    <n v="1104.05"/>
    <n v="0.1"/>
  </r>
  <r>
    <x v="327"/>
    <x v="209"/>
    <x v="1"/>
    <x v="2"/>
    <n v="1578.65"/>
    <n v="4"/>
    <n v="146.78"/>
    <n v="0.15"/>
  </r>
  <r>
    <x v="328"/>
    <x v="212"/>
    <x v="18"/>
    <x v="2"/>
    <n v="1448.25"/>
    <n v="3"/>
    <n v="314.29000000000002"/>
    <n v="0.15"/>
  </r>
  <r>
    <x v="329"/>
    <x v="168"/>
    <x v="63"/>
    <x v="2"/>
    <n v="2528.54"/>
    <n v="7"/>
    <n v="863.97"/>
    <n v="0.2"/>
  </r>
  <r>
    <x v="330"/>
    <x v="181"/>
    <x v="42"/>
    <x v="0"/>
    <n v="3511.91"/>
    <n v="3"/>
    <n v="605.73"/>
    <n v="0.2"/>
  </r>
  <r>
    <x v="331"/>
    <x v="213"/>
    <x v="2"/>
    <x v="1"/>
    <n v="1280.74"/>
    <n v="8"/>
    <n v="150.62"/>
    <n v="0"/>
  </r>
  <r>
    <x v="332"/>
    <x v="214"/>
    <x v="63"/>
    <x v="1"/>
    <n v="2122.12"/>
    <n v="7"/>
    <n v="371.27"/>
    <n v="0.05"/>
  </r>
  <r>
    <x v="333"/>
    <x v="177"/>
    <x v="66"/>
    <x v="0"/>
    <n v="1096.3499999999999"/>
    <n v="2"/>
    <n v="267.52"/>
    <n v="0.2"/>
  </r>
  <r>
    <x v="334"/>
    <x v="215"/>
    <x v="32"/>
    <x v="2"/>
    <n v="4164.09"/>
    <n v="10"/>
    <n v="272.58999999999997"/>
    <n v="0.2"/>
  </r>
  <r>
    <x v="335"/>
    <x v="216"/>
    <x v="13"/>
    <x v="2"/>
    <n v="4380.74"/>
    <n v="9"/>
    <n v="466.33"/>
    <n v="0.05"/>
  </r>
  <r>
    <x v="336"/>
    <x v="78"/>
    <x v="62"/>
    <x v="1"/>
    <n v="1123.56"/>
    <n v="4"/>
    <n v="361.91"/>
    <n v="0.05"/>
  </r>
  <r>
    <x v="337"/>
    <x v="128"/>
    <x v="88"/>
    <x v="1"/>
    <n v="674.85"/>
    <n v="10"/>
    <n v="236.11"/>
    <n v="0.05"/>
  </r>
  <r>
    <x v="338"/>
    <x v="217"/>
    <x v="90"/>
    <x v="0"/>
    <n v="4584.12"/>
    <n v="8"/>
    <n v="988.45"/>
    <n v="0.2"/>
  </r>
  <r>
    <x v="339"/>
    <x v="159"/>
    <x v="67"/>
    <x v="0"/>
    <n v="1860.37"/>
    <n v="8"/>
    <n v="239"/>
    <n v="0"/>
  </r>
  <r>
    <x v="340"/>
    <x v="218"/>
    <x v="32"/>
    <x v="0"/>
    <n v="2400.5"/>
    <n v="6"/>
    <n v="724.76"/>
    <n v="0.15"/>
  </r>
  <r>
    <x v="341"/>
    <x v="219"/>
    <x v="13"/>
    <x v="1"/>
    <n v="2856.37"/>
    <n v="5"/>
    <n v="332.43"/>
    <n v="0.2"/>
  </r>
  <r>
    <x v="342"/>
    <x v="131"/>
    <x v="23"/>
    <x v="1"/>
    <n v="2937.8"/>
    <n v="6"/>
    <n v="514.91999999999996"/>
    <n v="0.05"/>
  </r>
  <r>
    <x v="343"/>
    <x v="72"/>
    <x v="44"/>
    <x v="2"/>
    <n v="2891.97"/>
    <n v="6"/>
    <n v="357.79"/>
    <n v="0.1"/>
  </r>
  <r>
    <x v="344"/>
    <x v="183"/>
    <x v="59"/>
    <x v="2"/>
    <n v="4125.8"/>
    <n v="8"/>
    <n v="1402.58"/>
    <n v="0.15"/>
  </r>
  <r>
    <x v="345"/>
    <x v="182"/>
    <x v="49"/>
    <x v="2"/>
    <n v="3690.58"/>
    <n v="9"/>
    <n v="574.45000000000005"/>
    <n v="0.15"/>
  </r>
  <r>
    <x v="346"/>
    <x v="183"/>
    <x v="98"/>
    <x v="1"/>
    <n v="4592.8100000000004"/>
    <n v="9"/>
    <n v="976.62"/>
    <n v="0"/>
  </r>
  <r>
    <x v="347"/>
    <x v="220"/>
    <x v="22"/>
    <x v="0"/>
    <n v="4731.42"/>
    <n v="3"/>
    <n v="1185.05"/>
    <n v="0.05"/>
  </r>
  <r>
    <x v="348"/>
    <x v="191"/>
    <x v="72"/>
    <x v="0"/>
    <n v="3565.13"/>
    <n v="6"/>
    <n v="188.03"/>
    <n v="0"/>
  </r>
  <r>
    <x v="349"/>
    <x v="74"/>
    <x v="25"/>
    <x v="2"/>
    <n v="3224.87"/>
    <n v="8"/>
    <n v="1064.76"/>
    <n v="0"/>
  </r>
  <r>
    <x v="350"/>
    <x v="166"/>
    <x v="99"/>
    <x v="2"/>
    <n v="2707.84"/>
    <n v="5"/>
    <n v="469.54"/>
    <n v="0.2"/>
  </r>
  <r>
    <x v="351"/>
    <x v="89"/>
    <x v="76"/>
    <x v="0"/>
    <n v="184"/>
    <n v="3"/>
    <n v="54.09"/>
    <n v="0"/>
  </r>
  <r>
    <x v="352"/>
    <x v="199"/>
    <x v="73"/>
    <x v="2"/>
    <n v="2669.49"/>
    <n v="5"/>
    <n v="326.45"/>
    <n v="0.1"/>
  </r>
  <r>
    <x v="353"/>
    <x v="188"/>
    <x v="58"/>
    <x v="0"/>
    <n v="3995.19"/>
    <n v="10"/>
    <n v="294.47000000000003"/>
    <n v="0.05"/>
  </r>
  <r>
    <x v="354"/>
    <x v="129"/>
    <x v="33"/>
    <x v="2"/>
    <n v="1206.7"/>
    <n v="1"/>
    <n v="307.95999999999998"/>
    <n v="0"/>
  </r>
  <r>
    <x v="355"/>
    <x v="184"/>
    <x v="28"/>
    <x v="2"/>
    <n v="1958.39"/>
    <n v="1"/>
    <n v="422.64"/>
    <n v="0.05"/>
  </r>
  <r>
    <x v="356"/>
    <x v="35"/>
    <x v="75"/>
    <x v="2"/>
    <n v="2549.31"/>
    <n v="2"/>
    <n v="459.32"/>
    <n v="0.2"/>
  </r>
  <r>
    <x v="357"/>
    <x v="221"/>
    <x v="13"/>
    <x v="2"/>
    <n v="1225.8599999999999"/>
    <n v="8"/>
    <n v="392.74"/>
    <n v="0.1"/>
  </r>
  <r>
    <x v="358"/>
    <x v="222"/>
    <x v="13"/>
    <x v="2"/>
    <n v="4628.38"/>
    <n v="10"/>
    <n v="1181.76"/>
    <n v="0"/>
  </r>
  <r>
    <x v="359"/>
    <x v="223"/>
    <x v="52"/>
    <x v="2"/>
    <n v="4650.96"/>
    <n v="3"/>
    <n v="671.34"/>
    <n v="0.15"/>
  </r>
  <r>
    <x v="360"/>
    <x v="138"/>
    <x v="22"/>
    <x v="0"/>
    <n v="1566.46"/>
    <n v="9"/>
    <n v="343.35"/>
    <n v="0.1"/>
  </r>
  <r>
    <x v="361"/>
    <x v="197"/>
    <x v="71"/>
    <x v="2"/>
    <n v="3802.49"/>
    <n v="2"/>
    <n v="349.77"/>
    <n v="0.2"/>
  </r>
  <r>
    <x v="362"/>
    <x v="224"/>
    <x v="11"/>
    <x v="1"/>
    <n v="4874.18"/>
    <n v="2"/>
    <n v="322.23"/>
    <n v="0.1"/>
  </r>
  <r>
    <x v="363"/>
    <x v="225"/>
    <x v="78"/>
    <x v="0"/>
    <n v="3868.13"/>
    <n v="1"/>
    <n v="1301.46"/>
    <n v="0.1"/>
  </r>
  <r>
    <x v="364"/>
    <x v="226"/>
    <x v="41"/>
    <x v="0"/>
    <n v="2503.96"/>
    <n v="3"/>
    <n v="392.48"/>
    <n v="0.2"/>
  </r>
  <r>
    <x v="365"/>
    <x v="205"/>
    <x v="3"/>
    <x v="1"/>
    <n v="1962.36"/>
    <n v="2"/>
    <n v="552.70000000000005"/>
    <n v="0"/>
  </r>
  <r>
    <x v="366"/>
    <x v="227"/>
    <x v="58"/>
    <x v="1"/>
    <n v="855.68"/>
    <n v="7"/>
    <n v="225.47"/>
    <n v="0.1"/>
  </r>
  <r>
    <x v="367"/>
    <x v="228"/>
    <x v="31"/>
    <x v="0"/>
    <n v="622.1"/>
    <n v="6"/>
    <n v="32.07"/>
    <n v="0.1"/>
  </r>
  <r>
    <x v="368"/>
    <x v="70"/>
    <x v="51"/>
    <x v="2"/>
    <n v="749.28"/>
    <n v="9"/>
    <n v="79.59"/>
    <n v="0.2"/>
  </r>
  <r>
    <x v="369"/>
    <x v="123"/>
    <x v="64"/>
    <x v="1"/>
    <n v="606.14"/>
    <n v="10"/>
    <n v="46.6"/>
    <n v="0.2"/>
  </r>
  <r>
    <x v="370"/>
    <x v="229"/>
    <x v="89"/>
    <x v="0"/>
    <n v="4332.22"/>
    <n v="2"/>
    <n v="232.65"/>
    <n v="0.2"/>
  </r>
  <r>
    <x v="371"/>
    <x v="230"/>
    <x v="39"/>
    <x v="1"/>
    <n v="2902.61"/>
    <n v="3"/>
    <n v="292.8"/>
    <n v="0.1"/>
  </r>
  <r>
    <x v="372"/>
    <x v="7"/>
    <x v="18"/>
    <x v="0"/>
    <n v="1415.19"/>
    <n v="5"/>
    <n v="132.72"/>
    <n v="0.15"/>
  </r>
  <r>
    <x v="373"/>
    <x v="157"/>
    <x v="18"/>
    <x v="1"/>
    <n v="2472.73"/>
    <n v="8"/>
    <n v="180.7"/>
    <n v="0.2"/>
  </r>
  <r>
    <x v="374"/>
    <x v="78"/>
    <x v="34"/>
    <x v="1"/>
    <n v="1058.19"/>
    <n v="7"/>
    <n v="86.87"/>
    <n v="0.1"/>
  </r>
  <r>
    <x v="375"/>
    <x v="113"/>
    <x v="25"/>
    <x v="0"/>
    <n v="1961.46"/>
    <n v="7"/>
    <n v="605.41999999999996"/>
    <n v="0.2"/>
  </r>
  <r>
    <x v="376"/>
    <x v="136"/>
    <x v="80"/>
    <x v="1"/>
    <n v="1572.13"/>
    <n v="8"/>
    <n v="363.1"/>
    <n v="0.1"/>
  </r>
  <r>
    <x v="377"/>
    <x v="82"/>
    <x v="52"/>
    <x v="2"/>
    <n v="4826.42"/>
    <n v="8"/>
    <n v="1643.96"/>
    <n v="0.2"/>
  </r>
  <r>
    <x v="378"/>
    <x v="231"/>
    <x v="39"/>
    <x v="0"/>
    <n v="1696.84"/>
    <n v="2"/>
    <n v="227.53"/>
    <n v="0.2"/>
  </r>
  <r>
    <x v="379"/>
    <x v="107"/>
    <x v="37"/>
    <x v="2"/>
    <n v="3001.91"/>
    <n v="1"/>
    <n v="641.47"/>
    <n v="0.15"/>
  </r>
  <r>
    <x v="380"/>
    <x v="221"/>
    <x v="43"/>
    <x v="1"/>
    <n v="1127.28"/>
    <n v="7"/>
    <n v="326.13"/>
    <n v="0.15"/>
  </r>
  <r>
    <x v="381"/>
    <x v="127"/>
    <x v="80"/>
    <x v="1"/>
    <n v="3203.35"/>
    <n v="7"/>
    <n v="392.75"/>
    <n v="0.15"/>
  </r>
  <r>
    <x v="382"/>
    <x v="14"/>
    <x v="22"/>
    <x v="0"/>
    <n v="2300.4299999999998"/>
    <n v="9"/>
    <n v="527.66999999999996"/>
    <n v="0.2"/>
  </r>
  <r>
    <x v="383"/>
    <x v="165"/>
    <x v="55"/>
    <x v="2"/>
    <n v="2149.67"/>
    <n v="9"/>
    <n v="131.19"/>
    <n v="0.2"/>
  </r>
  <r>
    <x v="384"/>
    <x v="44"/>
    <x v="20"/>
    <x v="2"/>
    <n v="4580.57"/>
    <n v="6"/>
    <n v="379.32"/>
    <n v="0.05"/>
  </r>
  <r>
    <x v="385"/>
    <x v="176"/>
    <x v="68"/>
    <x v="2"/>
    <n v="3102.12"/>
    <n v="7"/>
    <n v="679.26"/>
    <n v="0.1"/>
  </r>
  <r>
    <x v="386"/>
    <x v="144"/>
    <x v="35"/>
    <x v="2"/>
    <n v="619.13"/>
    <n v="9"/>
    <n v="49.27"/>
    <n v="0.2"/>
  </r>
  <r>
    <x v="387"/>
    <x v="193"/>
    <x v="23"/>
    <x v="0"/>
    <n v="3469.56"/>
    <n v="8"/>
    <n v="403.54"/>
    <n v="0.2"/>
  </r>
  <r>
    <x v="388"/>
    <x v="232"/>
    <x v="55"/>
    <x v="0"/>
    <n v="2552.2800000000002"/>
    <n v="2"/>
    <n v="391.75"/>
    <n v="0.1"/>
  </r>
  <r>
    <x v="389"/>
    <x v="85"/>
    <x v="38"/>
    <x v="0"/>
    <n v="4610.68"/>
    <n v="5"/>
    <n v="349.29"/>
    <n v="0.1"/>
  </r>
  <r>
    <x v="390"/>
    <x v="233"/>
    <x v="27"/>
    <x v="0"/>
    <n v="3942.92"/>
    <n v="2"/>
    <n v="813.56"/>
    <n v="0.15"/>
  </r>
  <r>
    <x v="391"/>
    <x v="181"/>
    <x v="32"/>
    <x v="1"/>
    <n v="3514.14"/>
    <n v="2"/>
    <n v="511.91"/>
    <n v="0"/>
  </r>
  <r>
    <x v="392"/>
    <x v="8"/>
    <x v="53"/>
    <x v="2"/>
    <n v="3275.05"/>
    <n v="4"/>
    <n v="829.05"/>
    <n v="0.2"/>
  </r>
  <r>
    <x v="393"/>
    <x v="24"/>
    <x v="52"/>
    <x v="0"/>
    <n v="2804.36"/>
    <n v="4"/>
    <n v="418.68"/>
    <n v="0.15"/>
  </r>
  <r>
    <x v="394"/>
    <x v="88"/>
    <x v="0"/>
    <x v="0"/>
    <n v="1003.81"/>
    <n v="1"/>
    <n v="243.07"/>
    <n v="0.2"/>
  </r>
  <r>
    <x v="395"/>
    <x v="234"/>
    <x v="37"/>
    <x v="2"/>
    <n v="2302.92"/>
    <n v="4"/>
    <n v="411.91"/>
    <n v="0.05"/>
  </r>
  <r>
    <x v="396"/>
    <x v="235"/>
    <x v="46"/>
    <x v="2"/>
    <n v="3786.39"/>
    <n v="2"/>
    <n v="1107.97"/>
    <n v="0.2"/>
  </r>
  <r>
    <x v="397"/>
    <x v="60"/>
    <x v="98"/>
    <x v="0"/>
    <n v="1892.39"/>
    <n v="8"/>
    <n v="206.5"/>
    <n v="0.2"/>
  </r>
  <r>
    <x v="398"/>
    <x v="236"/>
    <x v="20"/>
    <x v="2"/>
    <n v="1635.68"/>
    <n v="2"/>
    <n v="272.49"/>
    <n v="0.1"/>
  </r>
  <r>
    <x v="399"/>
    <x v="211"/>
    <x v="24"/>
    <x v="2"/>
    <n v="4243.04"/>
    <n v="5"/>
    <n v="998"/>
    <n v="0.2"/>
  </r>
  <r>
    <x v="400"/>
    <x v="237"/>
    <x v="81"/>
    <x v="1"/>
    <n v="515.28"/>
    <n v="5"/>
    <n v="46.47"/>
    <n v="0"/>
  </r>
  <r>
    <x v="401"/>
    <x v="238"/>
    <x v="98"/>
    <x v="0"/>
    <n v="1929.2"/>
    <n v="10"/>
    <n v="178.27"/>
    <n v="0.05"/>
  </r>
  <r>
    <x v="402"/>
    <x v="146"/>
    <x v="61"/>
    <x v="2"/>
    <n v="1980.18"/>
    <n v="3"/>
    <n v="209.36"/>
    <n v="0.2"/>
  </r>
  <r>
    <x v="403"/>
    <x v="170"/>
    <x v="49"/>
    <x v="0"/>
    <n v="2499.25"/>
    <n v="10"/>
    <n v="230.15"/>
    <n v="0"/>
  </r>
  <r>
    <x v="404"/>
    <x v="75"/>
    <x v="24"/>
    <x v="0"/>
    <n v="4764.03"/>
    <n v="9"/>
    <n v="930.81"/>
    <n v="0.2"/>
  </r>
  <r>
    <x v="405"/>
    <x v="121"/>
    <x v="67"/>
    <x v="2"/>
    <n v="2525.35"/>
    <n v="8"/>
    <n v="645"/>
    <n v="0.15"/>
  </r>
  <r>
    <x v="406"/>
    <x v="51"/>
    <x v="49"/>
    <x v="0"/>
    <n v="505.09"/>
    <n v="1"/>
    <n v="29.93"/>
    <n v="0.1"/>
  </r>
  <r>
    <x v="407"/>
    <x v="169"/>
    <x v="56"/>
    <x v="2"/>
    <n v="2734.28"/>
    <n v="8"/>
    <n v="274.69"/>
    <n v="0.2"/>
  </r>
  <r>
    <x v="408"/>
    <x v="239"/>
    <x v="36"/>
    <x v="0"/>
    <n v="654.73"/>
    <n v="9"/>
    <n v="55.17"/>
    <n v="0"/>
  </r>
  <r>
    <x v="409"/>
    <x v="240"/>
    <x v="59"/>
    <x v="1"/>
    <n v="3623"/>
    <n v="4"/>
    <n v="774.98"/>
    <n v="0.1"/>
  </r>
  <r>
    <x v="410"/>
    <x v="180"/>
    <x v="95"/>
    <x v="0"/>
    <n v="2303.69"/>
    <n v="2"/>
    <n v="356.09"/>
    <n v="0.05"/>
  </r>
  <r>
    <x v="411"/>
    <x v="57"/>
    <x v="87"/>
    <x v="2"/>
    <n v="4072.44"/>
    <n v="10"/>
    <n v="921.91"/>
    <n v="0.15"/>
  </r>
  <r>
    <x v="412"/>
    <x v="241"/>
    <x v="49"/>
    <x v="1"/>
    <n v="3119.14"/>
    <n v="10"/>
    <n v="890.37"/>
    <n v="0.1"/>
  </r>
  <r>
    <x v="413"/>
    <x v="242"/>
    <x v="5"/>
    <x v="2"/>
    <n v="1477.32"/>
    <n v="5"/>
    <n v="312.64999999999998"/>
    <n v="0.1"/>
  </r>
  <r>
    <x v="414"/>
    <x v="112"/>
    <x v="61"/>
    <x v="1"/>
    <n v="1409.98"/>
    <n v="3"/>
    <n v="433.43"/>
    <n v="0.15"/>
  </r>
  <r>
    <x v="415"/>
    <x v="76"/>
    <x v="4"/>
    <x v="2"/>
    <n v="4963.18"/>
    <n v="3"/>
    <n v="1539.15"/>
    <n v="0.05"/>
  </r>
  <r>
    <x v="416"/>
    <x v="61"/>
    <x v="74"/>
    <x v="0"/>
    <n v="3585.83"/>
    <n v="8"/>
    <n v="1070.53"/>
    <n v="0.05"/>
  </r>
  <r>
    <x v="417"/>
    <x v="226"/>
    <x v="61"/>
    <x v="0"/>
    <n v="3198.77"/>
    <n v="2"/>
    <n v="762.41"/>
    <n v="0"/>
  </r>
  <r>
    <x v="418"/>
    <x v="243"/>
    <x v="28"/>
    <x v="0"/>
    <n v="2626.51"/>
    <n v="8"/>
    <n v="350.55"/>
    <n v="0.1"/>
  </r>
  <r>
    <x v="419"/>
    <x v="40"/>
    <x v="23"/>
    <x v="2"/>
    <n v="112.12"/>
    <n v="8"/>
    <n v="31.64"/>
    <n v="0.1"/>
  </r>
  <r>
    <x v="420"/>
    <x v="54"/>
    <x v="72"/>
    <x v="1"/>
    <n v="3998.82"/>
    <n v="8"/>
    <n v="677.06"/>
    <n v="0.1"/>
  </r>
  <r>
    <x v="421"/>
    <x v="186"/>
    <x v="89"/>
    <x v="1"/>
    <n v="4158.88"/>
    <n v="10"/>
    <n v="629.35"/>
    <n v="0.15"/>
  </r>
  <r>
    <x v="422"/>
    <x v="244"/>
    <x v="53"/>
    <x v="1"/>
    <n v="4481.3599999999997"/>
    <n v="8"/>
    <n v="1248.8499999999999"/>
    <n v="0"/>
  </r>
  <r>
    <x v="423"/>
    <x v="109"/>
    <x v="50"/>
    <x v="1"/>
    <n v="4654.22"/>
    <n v="7"/>
    <n v="453.3"/>
    <n v="0.05"/>
  </r>
  <r>
    <x v="424"/>
    <x v="245"/>
    <x v="55"/>
    <x v="1"/>
    <n v="4556.1000000000004"/>
    <n v="5"/>
    <n v="1433.55"/>
    <n v="0"/>
  </r>
  <r>
    <x v="425"/>
    <x v="246"/>
    <x v="67"/>
    <x v="2"/>
    <n v="1866.13"/>
    <n v="3"/>
    <n v="139.44999999999999"/>
    <n v="0"/>
  </r>
  <r>
    <x v="426"/>
    <x v="247"/>
    <x v="90"/>
    <x v="0"/>
    <n v="3165.46"/>
    <n v="2"/>
    <n v="847.7"/>
    <n v="0"/>
  </r>
  <r>
    <x v="427"/>
    <x v="248"/>
    <x v="99"/>
    <x v="1"/>
    <n v="1145.76"/>
    <n v="9"/>
    <n v="84.08"/>
    <n v="0.15"/>
  </r>
  <r>
    <x v="428"/>
    <x v="249"/>
    <x v="82"/>
    <x v="0"/>
    <n v="139.51"/>
    <n v="3"/>
    <n v="21.36"/>
    <n v="0.15"/>
  </r>
  <r>
    <x v="429"/>
    <x v="27"/>
    <x v="22"/>
    <x v="1"/>
    <n v="1221.8399999999999"/>
    <n v="6"/>
    <n v="93.84"/>
    <n v="0.1"/>
  </r>
  <r>
    <x v="430"/>
    <x v="20"/>
    <x v="18"/>
    <x v="2"/>
    <n v="771.93"/>
    <n v="3"/>
    <n v="217.71"/>
    <n v="0"/>
  </r>
  <r>
    <x v="431"/>
    <x v="8"/>
    <x v="86"/>
    <x v="0"/>
    <n v="2860.13"/>
    <n v="6"/>
    <n v="666.68"/>
    <n v="0.05"/>
  </r>
  <r>
    <x v="432"/>
    <x v="250"/>
    <x v="0"/>
    <x v="2"/>
    <n v="3766.52"/>
    <n v="8"/>
    <n v="1227.77"/>
    <n v="0.05"/>
  </r>
  <r>
    <x v="433"/>
    <x v="251"/>
    <x v="7"/>
    <x v="2"/>
    <n v="4493.3100000000004"/>
    <n v="7"/>
    <n v="413.4"/>
    <n v="0.1"/>
  </r>
  <r>
    <x v="434"/>
    <x v="252"/>
    <x v="84"/>
    <x v="2"/>
    <n v="1641.07"/>
    <n v="2"/>
    <n v="150.88999999999999"/>
    <n v="0.05"/>
  </r>
  <r>
    <x v="435"/>
    <x v="152"/>
    <x v="57"/>
    <x v="2"/>
    <n v="3044.9"/>
    <n v="1"/>
    <n v="811.02"/>
    <n v="0.1"/>
  </r>
  <r>
    <x v="436"/>
    <x v="236"/>
    <x v="87"/>
    <x v="0"/>
    <n v="2636.97"/>
    <n v="1"/>
    <n v="534.92999999999995"/>
    <n v="0.05"/>
  </r>
  <r>
    <x v="437"/>
    <x v="47"/>
    <x v="96"/>
    <x v="2"/>
    <n v="1990.84"/>
    <n v="2"/>
    <n v="243.53"/>
    <n v="0.2"/>
  </r>
  <r>
    <x v="438"/>
    <x v="95"/>
    <x v="82"/>
    <x v="0"/>
    <n v="4935.72"/>
    <n v="10"/>
    <n v="1629.66"/>
    <n v="0.15"/>
  </r>
  <r>
    <x v="439"/>
    <x v="253"/>
    <x v="31"/>
    <x v="1"/>
    <n v="2777.15"/>
    <n v="1"/>
    <n v="282.8"/>
    <n v="0.2"/>
  </r>
  <r>
    <x v="440"/>
    <x v="254"/>
    <x v="72"/>
    <x v="0"/>
    <n v="167.59"/>
    <n v="9"/>
    <n v="19.23"/>
    <n v="0.1"/>
  </r>
  <r>
    <x v="441"/>
    <x v="133"/>
    <x v="0"/>
    <x v="2"/>
    <n v="3591.88"/>
    <n v="7"/>
    <n v="1006.2"/>
    <n v="0"/>
  </r>
  <r>
    <x v="442"/>
    <x v="5"/>
    <x v="20"/>
    <x v="1"/>
    <n v="2729.17"/>
    <n v="5"/>
    <n v="640.85"/>
    <n v="0"/>
  </r>
  <r>
    <x v="443"/>
    <x v="255"/>
    <x v="36"/>
    <x v="2"/>
    <n v="4612.53"/>
    <n v="6"/>
    <n v="1578.84"/>
    <n v="0.15"/>
  </r>
  <r>
    <x v="444"/>
    <x v="200"/>
    <x v="81"/>
    <x v="2"/>
    <n v="3208.04"/>
    <n v="2"/>
    <n v="963.56"/>
    <n v="0.1"/>
  </r>
  <r>
    <x v="445"/>
    <x v="15"/>
    <x v="33"/>
    <x v="1"/>
    <n v="2243.6799999999998"/>
    <n v="4"/>
    <n v="753.94"/>
    <n v="0"/>
  </r>
  <r>
    <x v="446"/>
    <x v="184"/>
    <x v="35"/>
    <x v="0"/>
    <n v="668.33"/>
    <n v="3"/>
    <n v="156.18"/>
    <n v="0"/>
  </r>
  <r>
    <x v="447"/>
    <x v="256"/>
    <x v="82"/>
    <x v="0"/>
    <n v="3568.71"/>
    <n v="6"/>
    <n v="929.47"/>
    <n v="0.2"/>
  </r>
  <r>
    <x v="448"/>
    <x v="7"/>
    <x v="54"/>
    <x v="0"/>
    <n v="3936.64"/>
    <n v="3"/>
    <n v="1048.05"/>
    <n v="0.1"/>
  </r>
  <r>
    <x v="449"/>
    <x v="175"/>
    <x v="29"/>
    <x v="0"/>
    <n v="4443.43"/>
    <n v="7"/>
    <n v="1250.51"/>
    <n v="0.1"/>
  </r>
  <r>
    <x v="450"/>
    <x v="186"/>
    <x v="86"/>
    <x v="2"/>
    <n v="412.97"/>
    <n v="2"/>
    <n v="108.9"/>
    <n v="0.15"/>
  </r>
  <r>
    <x v="451"/>
    <x v="138"/>
    <x v="27"/>
    <x v="1"/>
    <n v="2602.83"/>
    <n v="6"/>
    <n v="173.43"/>
    <n v="0.05"/>
  </r>
  <r>
    <x v="452"/>
    <x v="89"/>
    <x v="66"/>
    <x v="2"/>
    <n v="3889.31"/>
    <n v="2"/>
    <n v="1237.8900000000001"/>
    <n v="0.05"/>
  </r>
  <r>
    <x v="453"/>
    <x v="257"/>
    <x v="88"/>
    <x v="1"/>
    <n v="2593.2399999999998"/>
    <n v="1"/>
    <n v="163.92"/>
    <n v="0.15"/>
  </r>
  <r>
    <x v="454"/>
    <x v="203"/>
    <x v="31"/>
    <x v="2"/>
    <n v="1976.6"/>
    <n v="7"/>
    <n v="187.83"/>
    <n v="0.05"/>
  </r>
  <r>
    <x v="455"/>
    <x v="189"/>
    <x v="89"/>
    <x v="0"/>
    <n v="1316.49"/>
    <n v="2"/>
    <n v="427.54"/>
    <n v="0.2"/>
  </r>
  <r>
    <x v="456"/>
    <x v="258"/>
    <x v="79"/>
    <x v="1"/>
    <n v="685.06"/>
    <n v="4"/>
    <n v="172.63"/>
    <n v="0.2"/>
  </r>
  <r>
    <x v="457"/>
    <x v="259"/>
    <x v="13"/>
    <x v="0"/>
    <n v="4774.99"/>
    <n v="5"/>
    <n v="337.49"/>
    <n v="0.1"/>
  </r>
  <r>
    <x v="458"/>
    <x v="179"/>
    <x v="7"/>
    <x v="0"/>
    <n v="2810.15"/>
    <n v="10"/>
    <n v="147.22999999999999"/>
    <n v="0.1"/>
  </r>
  <r>
    <x v="459"/>
    <x v="212"/>
    <x v="88"/>
    <x v="0"/>
    <n v="3151.32"/>
    <n v="4"/>
    <n v="596.16"/>
    <n v="0.2"/>
  </r>
  <r>
    <x v="460"/>
    <x v="260"/>
    <x v="59"/>
    <x v="1"/>
    <n v="4000.27"/>
    <n v="4"/>
    <n v="380.71"/>
    <n v="0.2"/>
  </r>
  <r>
    <x v="461"/>
    <x v="261"/>
    <x v="16"/>
    <x v="0"/>
    <n v="3216.12"/>
    <n v="1"/>
    <n v="829.88"/>
    <n v="0.15"/>
  </r>
  <r>
    <x v="462"/>
    <x v="214"/>
    <x v="88"/>
    <x v="1"/>
    <n v="3663.35"/>
    <n v="7"/>
    <n v="297.41000000000003"/>
    <n v="0.15"/>
  </r>
  <r>
    <x v="463"/>
    <x v="222"/>
    <x v="4"/>
    <x v="1"/>
    <n v="4865.54"/>
    <n v="1"/>
    <n v="451.09"/>
    <n v="0.05"/>
  </r>
  <r>
    <x v="464"/>
    <x v="169"/>
    <x v="54"/>
    <x v="2"/>
    <n v="2123.98"/>
    <n v="2"/>
    <n v="676.86"/>
    <n v="0.2"/>
  </r>
  <r>
    <x v="465"/>
    <x v="231"/>
    <x v="73"/>
    <x v="1"/>
    <n v="2576.6"/>
    <n v="10"/>
    <n v="621.38"/>
    <n v="0.2"/>
  </r>
  <r>
    <x v="466"/>
    <x v="28"/>
    <x v="4"/>
    <x v="0"/>
    <n v="2231.42"/>
    <n v="5"/>
    <n v="757.04"/>
    <n v="0.1"/>
  </r>
  <r>
    <x v="467"/>
    <x v="100"/>
    <x v="90"/>
    <x v="0"/>
    <n v="3533.56"/>
    <n v="5"/>
    <n v="956.2"/>
    <n v="0.05"/>
  </r>
  <r>
    <x v="468"/>
    <x v="49"/>
    <x v="22"/>
    <x v="1"/>
    <n v="4723.42"/>
    <n v="3"/>
    <n v="429.05"/>
    <n v="0"/>
  </r>
  <r>
    <x v="469"/>
    <x v="249"/>
    <x v="49"/>
    <x v="2"/>
    <n v="2302.88"/>
    <n v="6"/>
    <n v="332.1"/>
    <n v="0.05"/>
  </r>
  <r>
    <x v="470"/>
    <x v="249"/>
    <x v="41"/>
    <x v="1"/>
    <n v="1610.71"/>
    <n v="3"/>
    <n v="208.59"/>
    <n v="0.1"/>
  </r>
  <r>
    <x v="471"/>
    <x v="114"/>
    <x v="43"/>
    <x v="1"/>
    <n v="3514.7"/>
    <n v="2"/>
    <n v="218.26"/>
    <n v="0.05"/>
  </r>
  <r>
    <x v="472"/>
    <x v="181"/>
    <x v="24"/>
    <x v="0"/>
    <n v="2041.6"/>
    <n v="3"/>
    <n v="132.06"/>
    <n v="0"/>
  </r>
  <r>
    <x v="473"/>
    <x v="72"/>
    <x v="28"/>
    <x v="1"/>
    <n v="4287.55"/>
    <n v="2"/>
    <n v="929.48"/>
    <n v="0.15"/>
  </r>
  <r>
    <x v="474"/>
    <x v="257"/>
    <x v="51"/>
    <x v="1"/>
    <n v="4039.09"/>
    <n v="4"/>
    <n v="371.35"/>
    <n v="0.05"/>
  </r>
  <r>
    <x v="475"/>
    <x v="262"/>
    <x v="37"/>
    <x v="2"/>
    <n v="4136"/>
    <n v="2"/>
    <n v="668.68"/>
    <n v="0.2"/>
  </r>
  <r>
    <x v="476"/>
    <x v="263"/>
    <x v="81"/>
    <x v="1"/>
    <n v="1368.22"/>
    <n v="4"/>
    <n v="402.02"/>
    <n v="0.15"/>
  </r>
  <r>
    <x v="477"/>
    <x v="35"/>
    <x v="48"/>
    <x v="1"/>
    <n v="550.70000000000005"/>
    <n v="1"/>
    <n v="167.51"/>
    <n v="0.15"/>
  </r>
  <r>
    <x v="478"/>
    <x v="139"/>
    <x v="45"/>
    <x v="0"/>
    <n v="923.15"/>
    <n v="1"/>
    <n v="205.09"/>
    <n v="0.15"/>
  </r>
  <r>
    <x v="479"/>
    <x v="12"/>
    <x v="19"/>
    <x v="0"/>
    <n v="2190.65"/>
    <n v="5"/>
    <n v="342.14"/>
    <n v="0.15"/>
  </r>
  <r>
    <x v="480"/>
    <x v="264"/>
    <x v="10"/>
    <x v="2"/>
    <n v="269.77999999999997"/>
    <n v="5"/>
    <n v="63.6"/>
    <n v="0.15"/>
  </r>
  <r>
    <x v="481"/>
    <x v="180"/>
    <x v="64"/>
    <x v="0"/>
    <n v="4425.62"/>
    <n v="7"/>
    <n v="857.28"/>
    <n v="0.05"/>
  </r>
  <r>
    <x v="482"/>
    <x v="126"/>
    <x v="38"/>
    <x v="1"/>
    <n v="1077.3399999999999"/>
    <n v="9"/>
    <n v="339.79"/>
    <n v="0"/>
  </r>
  <r>
    <x v="483"/>
    <x v="239"/>
    <x v="44"/>
    <x v="0"/>
    <n v="3931.39"/>
    <n v="6"/>
    <n v="620.11"/>
    <n v="0.2"/>
  </r>
  <r>
    <x v="484"/>
    <x v="160"/>
    <x v="69"/>
    <x v="0"/>
    <n v="1675.86"/>
    <n v="10"/>
    <n v="219.76"/>
    <n v="0.05"/>
  </r>
  <r>
    <x v="485"/>
    <x v="10"/>
    <x v="26"/>
    <x v="0"/>
    <n v="4489.25"/>
    <n v="9"/>
    <n v="1272.98"/>
    <n v="0.1"/>
  </r>
  <r>
    <x v="486"/>
    <x v="190"/>
    <x v="94"/>
    <x v="1"/>
    <n v="2961.55"/>
    <n v="4"/>
    <n v="354.88"/>
    <n v="0.05"/>
  </r>
  <r>
    <x v="487"/>
    <x v="184"/>
    <x v="58"/>
    <x v="1"/>
    <n v="2715.08"/>
    <n v="10"/>
    <n v="780.24"/>
    <n v="0.15"/>
  </r>
  <r>
    <x v="488"/>
    <x v="145"/>
    <x v="24"/>
    <x v="1"/>
    <n v="4682.51"/>
    <n v="4"/>
    <n v="1627"/>
    <n v="0.2"/>
  </r>
  <r>
    <x v="489"/>
    <x v="212"/>
    <x v="42"/>
    <x v="1"/>
    <n v="4050.43"/>
    <n v="6"/>
    <n v="1050.23"/>
    <n v="0.2"/>
  </r>
  <r>
    <x v="490"/>
    <x v="120"/>
    <x v="15"/>
    <x v="2"/>
    <n v="796.3"/>
    <n v="5"/>
    <n v="266.37"/>
    <n v="0.05"/>
  </r>
  <r>
    <x v="491"/>
    <x v="265"/>
    <x v="83"/>
    <x v="1"/>
    <n v="286.02"/>
    <n v="1"/>
    <n v="19.12"/>
    <n v="0.2"/>
  </r>
  <r>
    <x v="492"/>
    <x v="266"/>
    <x v="62"/>
    <x v="1"/>
    <n v="103.35"/>
    <n v="6"/>
    <n v="33.630000000000003"/>
    <n v="0.05"/>
  </r>
  <r>
    <x v="493"/>
    <x v="178"/>
    <x v="89"/>
    <x v="1"/>
    <n v="391.82"/>
    <n v="2"/>
    <n v="36.950000000000003"/>
    <n v="0.2"/>
  </r>
  <r>
    <x v="494"/>
    <x v="71"/>
    <x v="31"/>
    <x v="0"/>
    <n v="4806.74"/>
    <n v="10"/>
    <n v="779.06"/>
    <n v="0"/>
  </r>
  <r>
    <x v="495"/>
    <x v="267"/>
    <x v="53"/>
    <x v="2"/>
    <n v="1578.65"/>
    <n v="7"/>
    <n v="143.56"/>
    <n v="0.15"/>
  </r>
  <r>
    <x v="496"/>
    <x v="118"/>
    <x v="67"/>
    <x v="2"/>
    <n v="1654.69"/>
    <n v="10"/>
    <n v="433.79"/>
    <n v="0.1"/>
  </r>
  <r>
    <x v="497"/>
    <x v="215"/>
    <x v="56"/>
    <x v="0"/>
    <n v="3361.11"/>
    <n v="5"/>
    <n v="989.3"/>
    <n v="0.05"/>
  </r>
  <r>
    <x v="498"/>
    <x v="268"/>
    <x v="52"/>
    <x v="0"/>
    <n v="3671.27"/>
    <n v="10"/>
    <n v="1228.54"/>
    <n v="0"/>
  </r>
  <r>
    <x v="499"/>
    <x v="195"/>
    <x v="98"/>
    <x v="1"/>
    <n v="3051.7"/>
    <n v="10"/>
    <n v="995.8"/>
    <n v="0"/>
  </r>
  <r>
    <x v="500"/>
    <x v="28"/>
    <x v="96"/>
    <x v="0"/>
    <n v="789.15"/>
    <n v="6"/>
    <n v="215.91"/>
    <n v="0.05"/>
  </r>
  <r>
    <x v="501"/>
    <x v="213"/>
    <x v="20"/>
    <x v="2"/>
    <n v="4438.07"/>
    <n v="6"/>
    <n v="340.04"/>
    <n v="0.15"/>
  </r>
  <r>
    <x v="502"/>
    <x v="269"/>
    <x v="82"/>
    <x v="0"/>
    <n v="1399.54"/>
    <n v="5"/>
    <n v="174.75"/>
    <n v="0"/>
  </r>
  <r>
    <x v="503"/>
    <x v="270"/>
    <x v="32"/>
    <x v="1"/>
    <n v="106.28"/>
    <n v="7"/>
    <n v="17.62"/>
    <n v="0.15"/>
  </r>
  <r>
    <x v="504"/>
    <x v="128"/>
    <x v="44"/>
    <x v="2"/>
    <n v="1821.03"/>
    <n v="4"/>
    <n v="296.11"/>
    <n v="0.05"/>
  </r>
  <r>
    <x v="505"/>
    <x v="106"/>
    <x v="41"/>
    <x v="1"/>
    <n v="461.18"/>
    <n v="6"/>
    <n v="140.07"/>
    <n v="0.1"/>
  </r>
  <r>
    <x v="506"/>
    <x v="226"/>
    <x v="51"/>
    <x v="1"/>
    <n v="463.58"/>
    <n v="2"/>
    <n v="46.84"/>
    <n v="0.2"/>
  </r>
  <r>
    <x v="507"/>
    <x v="74"/>
    <x v="7"/>
    <x v="2"/>
    <n v="1755.96"/>
    <n v="1"/>
    <n v="606.83000000000004"/>
    <n v="0.15"/>
  </r>
  <r>
    <x v="508"/>
    <x v="267"/>
    <x v="67"/>
    <x v="1"/>
    <n v="908.49"/>
    <n v="2"/>
    <n v="287.92"/>
    <n v="0.1"/>
  </r>
  <r>
    <x v="509"/>
    <x v="123"/>
    <x v="87"/>
    <x v="2"/>
    <n v="4874.55"/>
    <n v="9"/>
    <n v="842.24"/>
    <n v="0.1"/>
  </r>
  <r>
    <x v="510"/>
    <x v="271"/>
    <x v="3"/>
    <x v="0"/>
    <n v="1479.46"/>
    <n v="10"/>
    <n v="179.41"/>
    <n v="0.2"/>
  </r>
  <r>
    <x v="511"/>
    <x v="24"/>
    <x v="83"/>
    <x v="1"/>
    <n v="852.59"/>
    <n v="5"/>
    <n v="134.91999999999999"/>
    <n v="0.2"/>
  </r>
  <r>
    <x v="512"/>
    <x v="272"/>
    <x v="62"/>
    <x v="2"/>
    <n v="1078.4100000000001"/>
    <n v="5"/>
    <n v="62.25"/>
    <n v="0"/>
  </r>
  <r>
    <x v="513"/>
    <x v="225"/>
    <x v="2"/>
    <x v="0"/>
    <n v="4234.47"/>
    <n v="8"/>
    <n v="603.44000000000005"/>
    <n v="0.1"/>
  </r>
  <r>
    <x v="514"/>
    <x v="18"/>
    <x v="7"/>
    <x v="0"/>
    <n v="3245.15"/>
    <n v="6"/>
    <n v="539.53"/>
    <n v="0.05"/>
  </r>
  <r>
    <x v="515"/>
    <x v="273"/>
    <x v="41"/>
    <x v="1"/>
    <n v="318.62"/>
    <n v="5"/>
    <n v="57.96"/>
    <n v="0.2"/>
  </r>
  <r>
    <x v="516"/>
    <x v="132"/>
    <x v="4"/>
    <x v="1"/>
    <n v="840.54"/>
    <n v="6"/>
    <n v="217.65"/>
    <n v="0.2"/>
  </r>
  <r>
    <x v="517"/>
    <x v="123"/>
    <x v="64"/>
    <x v="1"/>
    <n v="4856.46"/>
    <n v="7"/>
    <n v="1102.02"/>
    <n v="0.2"/>
  </r>
  <r>
    <x v="518"/>
    <x v="41"/>
    <x v="38"/>
    <x v="2"/>
    <n v="4831.58"/>
    <n v="4"/>
    <n v="1237.47"/>
    <n v="0.15"/>
  </r>
  <r>
    <x v="519"/>
    <x v="274"/>
    <x v="18"/>
    <x v="2"/>
    <n v="486.88"/>
    <n v="10"/>
    <n v="156.21"/>
    <n v="0.2"/>
  </r>
  <r>
    <x v="520"/>
    <x v="249"/>
    <x v="61"/>
    <x v="0"/>
    <n v="3419.92"/>
    <n v="3"/>
    <n v="807.38"/>
    <n v="0.05"/>
  </r>
  <r>
    <x v="521"/>
    <x v="133"/>
    <x v="8"/>
    <x v="1"/>
    <n v="4061.46"/>
    <n v="7"/>
    <n v="356.82"/>
    <n v="0.05"/>
  </r>
  <r>
    <x v="522"/>
    <x v="189"/>
    <x v="0"/>
    <x v="2"/>
    <n v="824.6"/>
    <n v="2"/>
    <n v="188.43"/>
    <n v="0"/>
  </r>
  <r>
    <x v="523"/>
    <x v="252"/>
    <x v="71"/>
    <x v="2"/>
    <n v="2826.18"/>
    <n v="8"/>
    <n v="609.37"/>
    <n v="0"/>
  </r>
  <r>
    <x v="524"/>
    <x v="270"/>
    <x v="33"/>
    <x v="1"/>
    <n v="3152.98"/>
    <n v="7"/>
    <n v="651.94000000000005"/>
    <n v="0.05"/>
  </r>
  <r>
    <x v="525"/>
    <x v="102"/>
    <x v="74"/>
    <x v="1"/>
    <n v="2876.31"/>
    <n v="10"/>
    <n v="646.6"/>
    <n v="0"/>
  </r>
  <r>
    <x v="526"/>
    <x v="29"/>
    <x v="76"/>
    <x v="0"/>
    <n v="4350.63"/>
    <n v="7"/>
    <n v="1366.28"/>
    <n v="0.15"/>
  </r>
  <r>
    <x v="527"/>
    <x v="252"/>
    <x v="61"/>
    <x v="0"/>
    <n v="3083.91"/>
    <n v="3"/>
    <n v="188.86"/>
    <n v="0.2"/>
  </r>
  <r>
    <x v="528"/>
    <x v="139"/>
    <x v="78"/>
    <x v="0"/>
    <n v="3435.98"/>
    <n v="4"/>
    <n v="585.89"/>
    <n v="0"/>
  </r>
  <r>
    <x v="529"/>
    <x v="151"/>
    <x v="11"/>
    <x v="1"/>
    <n v="2428.5700000000002"/>
    <n v="6"/>
    <n v="317.11"/>
    <n v="0.1"/>
  </r>
  <r>
    <x v="530"/>
    <x v="42"/>
    <x v="65"/>
    <x v="2"/>
    <n v="1473.7"/>
    <n v="2"/>
    <n v="291.02999999999997"/>
    <n v="0.05"/>
  </r>
  <r>
    <x v="531"/>
    <x v="38"/>
    <x v="80"/>
    <x v="0"/>
    <n v="1572.35"/>
    <n v="7"/>
    <n v="429.44"/>
    <n v="0.2"/>
  </r>
  <r>
    <x v="532"/>
    <x v="2"/>
    <x v="68"/>
    <x v="2"/>
    <n v="537.51"/>
    <n v="8"/>
    <n v="98.1"/>
    <n v="0.2"/>
  </r>
  <r>
    <x v="533"/>
    <x v="190"/>
    <x v="79"/>
    <x v="1"/>
    <n v="4122.99"/>
    <n v="5"/>
    <n v="843.49"/>
    <n v="0.2"/>
  </r>
  <r>
    <x v="534"/>
    <x v="13"/>
    <x v="28"/>
    <x v="1"/>
    <n v="764.68"/>
    <n v="3"/>
    <n v="233.52"/>
    <n v="0.05"/>
  </r>
  <r>
    <x v="535"/>
    <x v="109"/>
    <x v="37"/>
    <x v="1"/>
    <n v="4201.1899999999996"/>
    <n v="6"/>
    <n v="524.51"/>
    <n v="0.05"/>
  </r>
  <r>
    <x v="536"/>
    <x v="225"/>
    <x v="46"/>
    <x v="2"/>
    <n v="1904.92"/>
    <n v="2"/>
    <n v="360.54"/>
    <n v="0"/>
  </r>
  <r>
    <x v="537"/>
    <x v="275"/>
    <x v="1"/>
    <x v="0"/>
    <n v="1925.09"/>
    <n v="10"/>
    <n v="439.33"/>
    <n v="0.2"/>
  </r>
  <r>
    <x v="538"/>
    <x v="276"/>
    <x v="16"/>
    <x v="2"/>
    <n v="1786.82"/>
    <n v="2"/>
    <n v="538.36"/>
    <n v="0.1"/>
  </r>
  <r>
    <x v="539"/>
    <x v="277"/>
    <x v="26"/>
    <x v="1"/>
    <n v="1994.17"/>
    <n v="4"/>
    <n v="197.17"/>
    <n v="0.05"/>
  </r>
  <r>
    <x v="540"/>
    <x v="159"/>
    <x v="12"/>
    <x v="1"/>
    <n v="1112.98"/>
    <n v="1"/>
    <n v="273.20999999999998"/>
    <n v="0.15"/>
  </r>
  <r>
    <x v="541"/>
    <x v="261"/>
    <x v="48"/>
    <x v="1"/>
    <n v="3272.12"/>
    <n v="5"/>
    <n v="753.71"/>
    <n v="0.2"/>
  </r>
  <r>
    <x v="542"/>
    <x v="111"/>
    <x v="65"/>
    <x v="0"/>
    <n v="3592.43"/>
    <n v="7"/>
    <n v="944.13"/>
    <n v="0.1"/>
  </r>
  <r>
    <x v="543"/>
    <x v="61"/>
    <x v="27"/>
    <x v="2"/>
    <n v="1334.79"/>
    <n v="10"/>
    <n v="253.62"/>
    <n v="0.15"/>
  </r>
  <r>
    <x v="544"/>
    <x v="71"/>
    <x v="23"/>
    <x v="0"/>
    <n v="601.33000000000004"/>
    <n v="9"/>
    <n v="122.34"/>
    <n v="0.2"/>
  </r>
  <r>
    <x v="545"/>
    <x v="116"/>
    <x v="78"/>
    <x v="1"/>
    <n v="1485.12"/>
    <n v="6"/>
    <n v="379.19"/>
    <n v="0.1"/>
  </r>
  <r>
    <x v="546"/>
    <x v="103"/>
    <x v="20"/>
    <x v="2"/>
    <n v="1693.17"/>
    <n v="5"/>
    <n v="225.3"/>
    <n v="0.05"/>
  </r>
  <r>
    <x v="547"/>
    <x v="10"/>
    <x v="10"/>
    <x v="2"/>
    <n v="2634.74"/>
    <n v="7"/>
    <n v="321.68"/>
    <n v="0.1"/>
  </r>
  <r>
    <x v="548"/>
    <x v="278"/>
    <x v="19"/>
    <x v="0"/>
    <n v="785.65"/>
    <n v="5"/>
    <n v="45.28"/>
    <n v="0.15"/>
  </r>
  <r>
    <x v="549"/>
    <x v="213"/>
    <x v="28"/>
    <x v="2"/>
    <n v="2002.55"/>
    <n v="4"/>
    <n v="121.35"/>
    <n v="0.1"/>
  </r>
  <r>
    <x v="550"/>
    <x v="47"/>
    <x v="32"/>
    <x v="0"/>
    <n v="3595.51"/>
    <n v="6"/>
    <n v="920.07"/>
    <n v="0.2"/>
  </r>
  <r>
    <x v="551"/>
    <x v="201"/>
    <x v="18"/>
    <x v="1"/>
    <n v="4242.55"/>
    <n v="5"/>
    <n v="1282.06"/>
    <n v="0"/>
  </r>
  <r>
    <x v="552"/>
    <x v="153"/>
    <x v="2"/>
    <x v="1"/>
    <n v="726.93"/>
    <n v="6"/>
    <n v="92.75"/>
    <n v="0"/>
  </r>
  <r>
    <x v="553"/>
    <x v="228"/>
    <x v="56"/>
    <x v="0"/>
    <n v="1840.89"/>
    <n v="6"/>
    <n v="503.05"/>
    <n v="0.1"/>
  </r>
  <r>
    <x v="554"/>
    <x v="237"/>
    <x v="9"/>
    <x v="0"/>
    <n v="2969.3"/>
    <n v="1"/>
    <n v="561.58000000000004"/>
    <n v="0.2"/>
  </r>
  <r>
    <x v="555"/>
    <x v="75"/>
    <x v="23"/>
    <x v="2"/>
    <n v="4727.07"/>
    <n v="2"/>
    <n v="337.35"/>
    <n v="0.15"/>
  </r>
  <r>
    <x v="556"/>
    <x v="48"/>
    <x v="86"/>
    <x v="1"/>
    <n v="1561.94"/>
    <n v="4"/>
    <n v="103.43"/>
    <n v="0.1"/>
  </r>
  <r>
    <x v="557"/>
    <x v="169"/>
    <x v="64"/>
    <x v="1"/>
    <n v="4937.24"/>
    <n v="6"/>
    <n v="1569.32"/>
    <n v="0.05"/>
  </r>
  <r>
    <x v="558"/>
    <x v="275"/>
    <x v="92"/>
    <x v="0"/>
    <n v="495.98"/>
    <n v="1"/>
    <n v="74.290000000000006"/>
    <n v="0"/>
  </r>
  <r>
    <x v="559"/>
    <x v="39"/>
    <x v="41"/>
    <x v="2"/>
    <n v="1440.29"/>
    <n v="3"/>
    <n v="400.92"/>
    <n v="0.15"/>
  </r>
  <r>
    <x v="560"/>
    <x v="279"/>
    <x v="59"/>
    <x v="2"/>
    <n v="3920.79"/>
    <n v="7"/>
    <n v="348.25"/>
    <n v="0.15"/>
  </r>
  <r>
    <x v="561"/>
    <x v="30"/>
    <x v="84"/>
    <x v="2"/>
    <n v="4830.1099999999997"/>
    <n v="4"/>
    <n v="796.94"/>
    <n v="0.1"/>
  </r>
  <r>
    <x v="562"/>
    <x v="214"/>
    <x v="82"/>
    <x v="1"/>
    <n v="4470.83"/>
    <n v="1"/>
    <n v="1238.6600000000001"/>
    <n v="0"/>
  </r>
  <r>
    <x v="563"/>
    <x v="280"/>
    <x v="0"/>
    <x v="0"/>
    <n v="3694.66"/>
    <n v="3"/>
    <n v="435.53"/>
    <n v="0"/>
  </r>
  <r>
    <x v="564"/>
    <x v="281"/>
    <x v="71"/>
    <x v="1"/>
    <n v="2566.35"/>
    <n v="5"/>
    <n v="364"/>
    <n v="0.1"/>
  </r>
  <r>
    <x v="565"/>
    <x v="196"/>
    <x v="27"/>
    <x v="0"/>
    <n v="3666.38"/>
    <n v="3"/>
    <n v="839.27"/>
    <n v="0.1"/>
  </r>
  <r>
    <x v="566"/>
    <x v="93"/>
    <x v="83"/>
    <x v="1"/>
    <n v="1860.33"/>
    <n v="4"/>
    <n v="198.18"/>
    <n v="0.05"/>
  </r>
  <r>
    <x v="567"/>
    <x v="263"/>
    <x v="29"/>
    <x v="2"/>
    <n v="4925.91"/>
    <n v="9"/>
    <n v="558.39"/>
    <n v="0.05"/>
  </r>
  <r>
    <x v="568"/>
    <x v="30"/>
    <x v="50"/>
    <x v="0"/>
    <n v="1896.3"/>
    <n v="5"/>
    <n v="464.9"/>
    <n v="0.2"/>
  </r>
  <r>
    <x v="569"/>
    <x v="209"/>
    <x v="25"/>
    <x v="1"/>
    <n v="338.08"/>
    <n v="1"/>
    <n v="117.79"/>
    <n v="0"/>
  </r>
  <r>
    <x v="570"/>
    <x v="251"/>
    <x v="55"/>
    <x v="2"/>
    <n v="667.37"/>
    <n v="5"/>
    <n v="122.33"/>
    <n v="0.15"/>
  </r>
  <r>
    <x v="571"/>
    <x v="262"/>
    <x v="33"/>
    <x v="1"/>
    <n v="850.32"/>
    <n v="5"/>
    <n v="219.86"/>
    <n v="0.15"/>
  </r>
  <r>
    <x v="572"/>
    <x v="162"/>
    <x v="3"/>
    <x v="2"/>
    <n v="594.79999999999995"/>
    <n v="3"/>
    <n v="122.58"/>
    <n v="0.15"/>
  </r>
  <r>
    <x v="573"/>
    <x v="217"/>
    <x v="51"/>
    <x v="1"/>
    <n v="2606.77"/>
    <n v="2"/>
    <n v="613.4"/>
    <n v="0.15"/>
  </r>
  <r>
    <x v="574"/>
    <x v="282"/>
    <x v="37"/>
    <x v="1"/>
    <n v="3084.11"/>
    <n v="6"/>
    <n v="874"/>
    <n v="0.15"/>
  </r>
  <r>
    <x v="575"/>
    <x v="223"/>
    <x v="97"/>
    <x v="2"/>
    <n v="885.83"/>
    <n v="8"/>
    <n v="189.96"/>
    <n v="0.1"/>
  </r>
  <r>
    <x v="576"/>
    <x v="125"/>
    <x v="1"/>
    <x v="2"/>
    <n v="113.42"/>
    <n v="8"/>
    <n v="28.52"/>
    <n v="0.05"/>
  </r>
  <r>
    <x v="577"/>
    <x v="102"/>
    <x v="7"/>
    <x v="0"/>
    <n v="3919.68"/>
    <n v="4"/>
    <n v="284.23"/>
    <n v="0.15"/>
  </r>
  <r>
    <x v="578"/>
    <x v="141"/>
    <x v="97"/>
    <x v="1"/>
    <n v="1394.21"/>
    <n v="5"/>
    <n v="90.66"/>
    <n v="0.1"/>
  </r>
  <r>
    <x v="579"/>
    <x v="283"/>
    <x v="12"/>
    <x v="1"/>
    <n v="1632.26"/>
    <n v="1"/>
    <n v="443.26"/>
    <n v="0.05"/>
  </r>
  <r>
    <x v="580"/>
    <x v="284"/>
    <x v="3"/>
    <x v="2"/>
    <n v="3271.27"/>
    <n v="5"/>
    <n v="486.1"/>
    <n v="0"/>
  </r>
  <r>
    <x v="581"/>
    <x v="92"/>
    <x v="79"/>
    <x v="0"/>
    <n v="4093.33"/>
    <n v="8"/>
    <n v="429.23"/>
    <n v="0.1"/>
  </r>
  <r>
    <x v="582"/>
    <x v="37"/>
    <x v="71"/>
    <x v="2"/>
    <n v="3480.52"/>
    <n v="3"/>
    <n v="673.39"/>
    <n v="0"/>
  </r>
  <r>
    <x v="583"/>
    <x v="190"/>
    <x v="48"/>
    <x v="1"/>
    <n v="3511.23"/>
    <n v="7"/>
    <n v="237.34"/>
    <n v="0.2"/>
  </r>
  <r>
    <x v="584"/>
    <x v="155"/>
    <x v="62"/>
    <x v="2"/>
    <n v="4031.1"/>
    <n v="7"/>
    <n v="1021.96"/>
    <n v="0.1"/>
  </r>
  <r>
    <x v="585"/>
    <x v="285"/>
    <x v="34"/>
    <x v="0"/>
    <n v="241.2"/>
    <n v="8"/>
    <n v="61.59"/>
    <n v="0"/>
  </r>
  <r>
    <x v="586"/>
    <x v="103"/>
    <x v="64"/>
    <x v="0"/>
    <n v="2259.37"/>
    <n v="1"/>
    <n v="155.9"/>
    <n v="0.2"/>
  </r>
  <r>
    <x v="587"/>
    <x v="286"/>
    <x v="94"/>
    <x v="2"/>
    <n v="3743.76"/>
    <n v="6"/>
    <n v="1000.08"/>
    <n v="0.2"/>
  </r>
  <r>
    <x v="588"/>
    <x v="88"/>
    <x v="54"/>
    <x v="2"/>
    <n v="3472.38"/>
    <n v="4"/>
    <n v="817.65"/>
    <n v="0.15"/>
  </r>
  <r>
    <x v="589"/>
    <x v="25"/>
    <x v="16"/>
    <x v="2"/>
    <n v="3352.18"/>
    <n v="10"/>
    <n v="812.64"/>
    <n v="0"/>
  </r>
  <r>
    <x v="590"/>
    <x v="287"/>
    <x v="82"/>
    <x v="0"/>
    <n v="3252.65"/>
    <n v="3"/>
    <n v="315.76"/>
    <n v="0"/>
  </r>
  <r>
    <x v="591"/>
    <x v="5"/>
    <x v="47"/>
    <x v="1"/>
    <n v="2509.08"/>
    <n v="9"/>
    <n v="306.77999999999997"/>
    <n v="0.05"/>
  </r>
  <r>
    <x v="592"/>
    <x v="288"/>
    <x v="57"/>
    <x v="1"/>
    <n v="3252.25"/>
    <n v="8"/>
    <n v="556.08000000000004"/>
    <n v="0.15"/>
  </r>
  <r>
    <x v="593"/>
    <x v="289"/>
    <x v="61"/>
    <x v="0"/>
    <n v="2295.6799999999998"/>
    <n v="2"/>
    <n v="704.72"/>
    <n v="0.15"/>
  </r>
  <r>
    <x v="594"/>
    <x v="229"/>
    <x v="11"/>
    <x v="1"/>
    <n v="3301.53"/>
    <n v="9"/>
    <n v="266.74"/>
    <n v="0.2"/>
  </r>
  <r>
    <x v="595"/>
    <x v="79"/>
    <x v="99"/>
    <x v="2"/>
    <n v="4146.95"/>
    <n v="5"/>
    <n v="1192.3900000000001"/>
    <n v="0.2"/>
  </r>
  <r>
    <x v="596"/>
    <x v="63"/>
    <x v="63"/>
    <x v="0"/>
    <n v="1113.57"/>
    <n v="1"/>
    <n v="280"/>
    <n v="0.05"/>
  </r>
  <r>
    <x v="597"/>
    <x v="290"/>
    <x v="27"/>
    <x v="0"/>
    <n v="1726.67"/>
    <n v="6"/>
    <n v="483.86"/>
    <n v="0.15"/>
  </r>
  <r>
    <x v="598"/>
    <x v="23"/>
    <x v="85"/>
    <x v="0"/>
    <n v="577.44000000000005"/>
    <n v="6"/>
    <n v="143.02000000000001"/>
    <n v="0.1"/>
  </r>
  <r>
    <x v="599"/>
    <x v="244"/>
    <x v="57"/>
    <x v="1"/>
    <n v="2657.73"/>
    <n v="8"/>
    <n v="692.68"/>
    <n v="0.05"/>
  </r>
  <r>
    <x v="600"/>
    <x v="291"/>
    <x v="91"/>
    <x v="2"/>
    <n v="3738.3"/>
    <n v="4"/>
    <n v="645.84"/>
    <n v="0.05"/>
  </r>
  <r>
    <x v="601"/>
    <x v="169"/>
    <x v="50"/>
    <x v="1"/>
    <n v="4658.0600000000004"/>
    <n v="6"/>
    <n v="781.94"/>
    <n v="0"/>
  </r>
  <r>
    <x v="602"/>
    <x v="211"/>
    <x v="47"/>
    <x v="2"/>
    <n v="2130.9"/>
    <n v="2"/>
    <n v="698.91"/>
    <n v="0.15"/>
  </r>
  <r>
    <x v="603"/>
    <x v="20"/>
    <x v="27"/>
    <x v="0"/>
    <n v="3326.44"/>
    <n v="1"/>
    <n v="1120.53"/>
    <n v="0.2"/>
  </r>
  <r>
    <x v="604"/>
    <x v="49"/>
    <x v="88"/>
    <x v="0"/>
    <n v="338"/>
    <n v="9"/>
    <n v="111.74"/>
    <n v="0.05"/>
  </r>
  <r>
    <x v="605"/>
    <x v="292"/>
    <x v="55"/>
    <x v="1"/>
    <n v="2934.92"/>
    <n v="7"/>
    <n v="789.93"/>
    <n v="0.2"/>
  </r>
  <r>
    <x v="606"/>
    <x v="293"/>
    <x v="78"/>
    <x v="0"/>
    <n v="4425.21"/>
    <n v="10"/>
    <n v="890.5"/>
    <n v="0.05"/>
  </r>
  <r>
    <x v="607"/>
    <x v="106"/>
    <x v="46"/>
    <x v="0"/>
    <n v="2049.56"/>
    <n v="3"/>
    <n v="313.29000000000002"/>
    <n v="0.05"/>
  </r>
  <r>
    <x v="608"/>
    <x v="159"/>
    <x v="64"/>
    <x v="0"/>
    <n v="3052.37"/>
    <n v="9"/>
    <n v="964.34"/>
    <n v="0.1"/>
  </r>
  <r>
    <x v="609"/>
    <x v="59"/>
    <x v="91"/>
    <x v="1"/>
    <n v="3710.41"/>
    <n v="4"/>
    <n v="801.72"/>
    <n v="0.2"/>
  </r>
  <r>
    <x v="610"/>
    <x v="211"/>
    <x v="91"/>
    <x v="1"/>
    <n v="1523.84"/>
    <n v="3"/>
    <n v="234.04"/>
    <n v="0.2"/>
  </r>
  <r>
    <x v="611"/>
    <x v="294"/>
    <x v="17"/>
    <x v="0"/>
    <n v="3502.13"/>
    <n v="9"/>
    <n v="513.80999999999995"/>
    <n v="0.15"/>
  </r>
  <r>
    <x v="612"/>
    <x v="295"/>
    <x v="23"/>
    <x v="2"/>
    <n v="2896.13"/>
    <n v="9"/>
    <n v="724.46"/>
    <n v="0.1"/>
  </r>
  <r>
    <x v="613"/>
    <x v="232"/>
    <x v="84"/>
    <x v="0"/>
    <n v="4060.69"/>
    <n v="3"/>
    <n v="839.83"/>
    <n v="0"/>
  </r>
  <r>
    <x v="614"/>
    <x v="296"/>
    <x v="14"/>
    <x v="0"/>
    <n v="377.36"/>
    <n v="5"/>
    <n v="49.09"/>
    <n v="0.05"/>
  </r>
  <r>
    <x v="615"/>
    <x v="297"/>
    <x v="4"/>
    <x v="1"/>
    <n v="3483.91"/>
    <n v="6"/>
    <n v="482.67"/>
    <n v="0.15"/>
  </r>
  <r>
    <x v="616"/>
    <x v="118"/>
    <x v="51"/>
    <x v="1"/>
    <n v="3118.93"/>
    <n v="9"/>
    <n v="788.02"/>
    <n v="0.15"/>
  </r>
  <r>
    <x v="617"/>
    <x v="42"/>
    <x v="1"/>
    <x v="0"/>
    <n v="2603.52"/>
    <n v="1"/>
    <n v="752.55"/>
    <n v="0.15"/>
  </r>
  <r>
    <x v="618"/>
    <x v="154"/>
    <x v="71"/>
    <x v="0"/>
    <n v="2141.17"/>
    <n v="9"/>
    <n v="613.29999999999995"/>
    <n v="0"/>
  </r>
  <r>
    <x v="619"/>
    <x v="108"/>
    <x v="82"/>
    <x v="1"/>
    <n v="3743.98"/>
    <n v="6"/>
    <n v="415.31"/>
    <n v="0.2"/>
  </r>
  <r>
    <x v="620"/>
    <x v="75"/>
    <x v="17"/>
    <x v="0"/>
    <n v="3718.41"/>
    <n v="8"/>
    <n v="405.09"/>
    <n v="0.05"/>
  </r>
  <r>
    <x v="621"/>
    <x v="163"/>
    <x v="19"/>
    <x v="1"/>
    <n v="464.9"/>
    <n v="7"/>
    <n v="157.47999999999999"/>
    <n v="0"/>
  </r>
  <r>
    <x v="622"/>
    <x v="296"/>
    <x v="84"/>
    <x v="2"/>
    <n v="1467.65"/>
    <n v="5"/>
    <n v="189.73"/>
    <n v="0"/>
  </r>
  <r>
    <x v="623"/>
    <x v="90"/>
    <x v="93"/>
    <x v="1"/>
    <n v="2385.02"/>
    <n v="6"/>
    <n v="790.03"/>
    <n v="0.2"/>
  </r>
  <r>
    <x v="624"/>
    <x v="209"/>
    <x v="45"/>
    <x v="0"/>
    <n v="3890.94"/>
    <n v="8"/>
    <n v="924.53"/>
    <n v="0.2"/>
  </r>
  <r>
    <x v="625"/>
    <x v="100"/>
    <x v="57"/>
    <x v="2"/>
    <n v="1854.62"/>
    <n v="4"/>
    <n v="528.96"/>
    <n v="0.05"/>
  </r>
  <r>
    <x v="626"/>
    <x v="121"/>
    <x v="54"/>
    <x v="2"/>
    <n v="434.06"/>
    <n v="9"/>
    <n v="87.48"/>
    <n v="0.15"/>
  </r>
  <r>
    <x v="627"/>
    <x v="71"/>
    <x v="7"/>
    <x v="0"/>
    <n v="1812.07"/>
    <n v="6"/>
    <n v="570.84"/>
    <n v="0.1"/>
  </r>
  <r>
    <x v="628"/>
    <x v="214"/>
    <x v="97"/>
    <x v="0"/>
    <n v="1170.3800000000001"/>
    <n v="9"/>
    <n v="322.79000000000002"/>
    <n v="0"/>
  </r>
  <r>
    <x v="629"/>
    <x v="183"/>
    <x v="85"/>
    <x v="2"/>
    <n v="3377.8"/>
    <n v="10"/>
    <n v="620.5"/>
    <n v="0.05"/>
  </r>
  <r>
    <x v="630"/>
    <x v="60"/>
    <x v="13"/>
    <x v="0"/>
    <n v="3444.5"/>
    <n v="5"/>
    <n v="503.87"/>
    <n v="0.2"/>
  </r>
  <r>
    <x v="631"/>
    <x v="193"/>
    <x v="32"/>
    <x v="2"/>
    <n v="1485.86"/>
    <n v="9"/>
    <n v="480.53"/>
    <n v="0.15"/>
  </r>
  <r>
    <x v="632"/>
    <x v="73"/>
    <x v="83"/>
    <x v="0"/>
    <n v="314.87"/>
    <n v="9"/>
    <n v="100.6"/>
    <n v="0"/>
  </r>
  <r>
    <x v="633"/>
    <x v="206"/>
    <x v="73"/>
    <x v="2"/>
    <n v="920.23"/>
    <n v="1"/>
    <n v="310.01"/>
    <n v="0"/>
  </r>
  <r>
    <x v="634"/>
    <x v="154"/>
    <x v="87"/>
    <x v="0"/>
    <n v="3384.64"/>
    <n v="2"/>
    <n v="954.72"/>
    <n v="0.05"/>
  </r>
  <r>
    <x v="635"/>
    <x v="279"/>
    <x v="5"/>
    <x v="2"/>
    <n v="4160.87"/>
    <n v="2"/>
    <n v="1304.81"/>
    <n v="0.05"/>
  </r>
  <r>
    <x v="636"/>
    <x v="180"/>
    <x v="26"/>
    <x v="1"/>
    <n v="2350.1999999999998"/>
    <n v="1"/>
    <n v="351.39"/>
    <n v="0.05"/>
  </r>
  <r>
    <x v="637"/>
    <x v="31"/>
    <x v="66"/>
    <x v="0"/>
    <n v="2834.61"/>
    <n v="7"/>
    <n v="630.66999999999996"/>
    <n v="0.15"/>
  </r>
  <r>
    <x v="638"/>
    <x v="166"/>
    <x v="41"/>
    <x v="0"/>
    <n v="3188.06"/>
    <n v="2"/>
    <n v="573.55999999999995"/>
    <n v="0.2"/>
  </r>
  <r>
    <x v="639"/>
    <x v="49"/>
    <x v="99"/>
    <x v="1"/>
    <n v="3242.97"/>
    <n v="2"/>
    <n v="763.74"/>
    <n v="0.1"/>
  </r>
  <r>
    <x v="640"/>
    <x v="245"/>
    <x v="69"/>
    <x v="2"/>
    <n v="620.05999999999995"/>
    <n v="2"/>
    <n v="177.38"/>
    <n v="0.1"/>
  </r>
  <r>
    <x v="641"/>
    <x v="209"/>
    <x v="59"/>
    <x v="1"/>
    <n v="4640.79"/>
    <n v="8"/>
    <n v="763.06"/>
    <n v="0.05"/>
  </r>
  <r>
    <x v="642"/>
    <x v="298"/>
    <x v="5"/>
    <x v="0"/>
    <n v="1177.3399999999999"/>
    <n v="3"/>
    <n v="322.62"/>
    <n v="0.1"/>
  </r>
  <r>
    <x v="643"/>
    <x v="171"/>
    <x v="12"/>
    <x v="0"/>
    <n v="4446.1899999999996"/>
    <n v="1"/>
    <n v="1509.97"/>
    <n v="0.2"/>
  </r>
  <r>
    <x v="644"/>
    <x v="268"/>
    <x v="63"/>
    <x v="2"/>
    <n v="792.73"/>
    <n v="7"/>
    <n v="49.57"/>
    <n v="0.2"/>
  </r>
  <r>
    <x v="645"/>
    <x v="280"/>
    <x v="57"/>
    <x v="1"/>
    <n v="4740.2"/>
    <n v="7"/>
    <n v="670.3"/>
    <n v="0.2"/>
  </r>
  <r>
    <x v="646"/>
    <x v="56"/>
    <x v="74"/>
    <x v="1"/>
    <n v="888.68"/>
    <n v="2"/>
    <n v="103.3"/>
    <n v="0.05"/>
  </r>
  <r>
    <x v="647"/>
    <x v="72"/>
    <x v="14"/>
    <x v="0"/>
    <n v="4018.33"/>
    <n v="9"/>
    <n v="1228.3"/>
    <n v="0"/>
  </r>
  <r>
    <x v="648"/>
    <x v="84"/>
    <x v="97"/>
    <x v="2"/>
    <n v="3391.26"/>
    <n v="10"/>
    <n v="424.61"/>
    <n v="0.15"/>
  </r>
  <r>
    <x v="649"/>
    <x v="288"/>
    <x v="93"/>
    <x v="1"/>
    <n v="1849.98"/>
    <n v="5"/>
    <n v="465.06"/>
    <n v="0.2"/>
  </r>
  <r>
    <x v="650"/>
    <x v="177"/>
    <x v="72"/>
    <x v="0"/>
    <n v="4510.58"/>
    <n v="10"/>
    <n v="655.55"/>
    <n v="0.1"/>
  </r>
  <r>
    <x v="651"/>
    <x v="299"/>
    <x v="55"/>
    <x v="0"/>
    <n v="2962.43"/>
    <n v="7"/>
    <n v="650.74"/>
    <n v="0.05"/>
  </r>
  <r>
    <x v="652"/>
    <x v="300"/>
    <x v="99"/>
    <x v="2"/>
    <n v="1634.75"/>
    <n v="7"/>
    <n v="467.04"/>
    <n v="0.1"/>
  </r>
  <r>
    <x v="653"/>
    <x v="128"/>
    <x v="31"/>
    <x v="0"/>
    <n v="758.1"/>
    <n v="8"/>
    <n v="204.61"/>
    <n v="0.1"/>
  </r>
  <r>
    <x v="654"/>
    <x v="141"/>
    <x v="92"/>
    <x v="2"/>
    <n v="1596.81"/>
    <n v="10"/>
    <n v="344.12"/>
    <n v="0"/>
  </r>
  <r>
    <x v="655"/>
    <x v="206"/>
    <x v="46"/>
    <x v="1"/>
    <n v="4307.7"/>
    <n v="5"/>
    <n v="396.31"/>
    <n v="0"/>
  </r>
  <r>
    <x v="656"/>
    <x v="134"/>
    <x v="29"/>
    <x v="2"/>
    <n v="469.46"/>
    <n v="1"/>
    <n v="26.1"/>
    <n v="0.2"/>
  </r>
  <r>
    <x v="657"/>
    <x v="203"/>
    <x v="23"/>
    <x v="2"/>
    <n v="2085.16"/>
    <n v="5"/>
    <n v="473.35"/>
    <n v="0.2"/>
  </r>
  <r>
    <x v="658"/>
    <x v="115"/>
    <x v="17"/>
    <x v="0"/>
    <n v="2413.31"/>
    <n v="4"/>
    <n v="681.9"/>
    <n v="0.2"/>
  </r>
  <r>
    <x v="659"/>
    <x v="301"/>
    <x v="29"/>
    <x v="2"/>
    <n v="4300.1000000000004"/>
    <n v="2"/>
    <n v="387.72"/>
    <n v="0.15"/>
  </r>
  <r>
    <x v="660"/>
    <x v="302"/>
    <x v="31"/>
    <x v="2"/>
    <n v="2560.62"/>
    <n v="3"/>
    <n v="637.09"/>
    <n v="0.2"/>
  </r>
  <r>
    <x v="661"/>
    <x v="303"/>
    <x v="80"/>
    <x v="2"/>
    <n v="2286.48"/>
    <n v="3"/>
    <n v="237.21"/>
    <n v="0.15"/>
  </r>
  <r>
    <x v="662"/>
    <x v="304"/>
    <x v="24"/>
    <x v="1"/>
    <n v="298.06"/>
    <n v="5"/>
    <n v="82.99"/>
    <n v="0.1"/>
  </r>
  <r>
    <x v="663"/>
    <x v="165"/>
    <x v="70"/>
    <x v="0"/>
    <n v="309.76"/>
    <n v="8"/>
    <n v="34.700000000000003"/>
    <n v="0.15"/>
  </r>
  <r>
    <x v="664"/>
    <x v="27"/>
    <x v="13"/>
    <x v="2"/>
    <n v="295.52999999999997"/>
    <n v="9"/>
    <n v="72.27"/>
    <n v="0.1"/>
  </r>
  <r>
    <x v="665"/>
    <x v="141"/>
    <x v="88"/>
    <x v="0"/>
    <n v="1390.25"/>
    <n v="7"/>
    <n v="296.55"/>
    <n v="0.1"/>
  </r>
  <r>
    <x v="666"/>
    <x v="158"/>
    <x v="81"/>
    <x v="0"/>
    <n v="3301.35"/>
    <n v="7"/>
    <n v="992.52"/>
    <n v="0.05"/>
  </r>
  <r>
    <x v="667"/>
    <x v="280"/>
    <x v="54"/>
    <x v="0"/>
    <n v="2088.63"/>
    <n v="8"/>
    <n v="616.5"/>
    <n v="0.2"/>
  </r>
  <r>
    <x v="668"/>
    <x v="8"/>
    <x v="99"/>
    <x v="1"/>
    <n v="2559"/>
    <n v="2"/>
    <n v="234.64"/>
    <n v="0.2"/>
  </r>
  <r>
    <x v="669"/>
    <x v="267"/>
    <x v="68"/>
    <x v="0"/>
    <n v="1475.97"/>
    <n v="10"/>
    <n v="140.32"/>
    <n v="0"/>
  </r>
  <r>
    <x v="670"/>
    <x v="60"/>
    <x v="3"/>
    <x v="0"/>
    <n v="1228.7"/>
    <n v="8"/>
    <n v="360.44"/>
    <n v="0.15"/>
  </r>
  <r>
    <x v="671"/>
    <x v="29"/>
    <x v="87"/>
    <x v="1"/>
    <n v="2994.88"/>
    <n v="4"/>
    <n v="731.28"/>
    <n v="0"/>
  </r>
  <r>
    <x v="672"/>
    <x v="262"/>
    <x v="48"/>
    <x v="2"/>
    <n v="2910.08"/>
    <n v="1"/>
    <n v="286.17"/>
    <n v="0.2"/>
  </r>
  <r>
    <x v="673"/>
    <x v="155"/>
    <x v="74"/>
    <x v="2"/>
    <n v="373.97"/>
    <n v="7"/>
    <n v="47.67"/>
    <n v="0.2"/>
  </r>
  <r>
    <x v="674"/>
    <x v="209"/>
    <x v="15"/>
    <x v="0"/>
    <n v="3224.35"/>
    <n v="2"/>
    <n v="1011"/>
    <n v="0.05"/>
  </r>
  <r>
    <x v="675"/>
    <x v="116"/>
    <x v="41"/>
    <x v="1"/>
    <n v="3071.98"/>
    <n v="4"/>
    <n v="588.04999999999995"/>
    <n v="0.15"/>
  </r>
  <r>
    <x v="676"/>
    <x v="68"/>
    <x v="60"/>
    <x v="2"/>
    <n v="799.29"/>
    <n v="9"/>
    <n v="179.68"/>
    <n v="0.1"/>
  </r>
  <r>
    <x v="677"/>
    <x v="55"/>
    <x v="49"/>
    <x v="2"/>
    <n v="3648.52"/>
    <n v="10"/>
    <n v="557.5"/>
    <n v="0"/>
  </r>
  <r>
    <x v="678"/>
    <x v="166"/>
    <x v="70"/>
    <x v="1"/>
    <n v="1953.24"/>
    <n v="9"/>
    <n v="175.14"/>
    <n v="0.2"/>
  </r>
  <r>
    <x v="679"/>
    <x v="132"/>
    <x v="19"/>
    <x v="1"/>
    <n v="2157"/>
    <n v="8"/>
    <n v="204.63"/>
    <n v="0.2"/>
  </r>
  <r>
    <x v="680"/>
    <x v="156"/>
    <x v="60"/>
    <x v="1"/>
    <n v="291.27999999999997"/>
    <n v="2"/>
    <n v="83.06"/>
    <n v="0.15"/>
  </r>
  <r>
    <x v="681"/>
    <x v="34"/>
    <x v="3"/>
    <x v="2"/>
    <n v="738.61"/>
    <n v="7"/>
    <n v="170.65"/>
    <n v="0.2"/>
  </r>
  <r>
    <x v="682"/>
    <x v="214"/>
    <x v="38"/>
    <x v="0"/>
    <n v="1914.85"/>
    <n v="4"/>
    <n v="120.7"/>
    <n v="0.15"/>
  </r>
  <r>
    <x v="683"/>
    <x v="42"/>
    <x v="94"/>
    <x v="2"/>
    <n v="1968.06"/>
    <n v="2"/>
    <n v="446.19"/>
    <n v="0.15"/>
  </r>
  <r>
    <x v="684"/>
    <x v="305"/>
    <x v="80"/>
    <x v="0"/>
    <n v="1347.14"/>
    <n v="10"/>
    <n v="376.87"/>
    <n v="0.2"/>
  </r>
  <r>
    <x v="685"/>
    <x v="220"/>
    <x v="64"/>
    <x v="2"/>
    <n v="1363.24"/>
    <n v="9"/>
    <n v="70.400000000000006"/>
    <n v="0"/>
  </r>
  <r>
    <x v="686"/>
    <x v="197"/>
    <x v="54"/>
    <x v="0"/>
    <n v="135.25"/>
    <n v="7"/>
    <n v="33.32"/>
    <n v="0.1"/>
  </r>
  <r>
    <x v="687"/>
    <x v="56"/>
    <x v="51"/>
    <x v="0"/>
    <n v="858.42"/>
    <n v="9"/>
    <n v="210.72"/>
    <n v="0.15"/>
  </r>
  <r>
    <x v="688"/>
    <x v="200"/>
    <x v="15"/>
    <x v="0"/>
    <n v="1891.66"/>
    <n v="4"/>
    <n v="250.96"/>
    <n v="0.15"/>
  </r>
  <r>
    <x v="689"/>
    <x v="18"/>
    <x v="57"/>
    <x v="2"/>
    <n v="3940.56"/>
    <n v="9"/>
    <n v="767.39"/>
    <n v="0.15"/>
  </r>
  <r>
    <x v="690"/>
    <x v="306"/>
    <x v="66"/>
    <x v="0"/>
    <n v="4943.6899999999996"/>
    <n v="3"/>
    <n v="1103.9000000000001"/>
    <n v="0"/>
  </r>
  <r>
    <x v="691"/>
    <x v="296"/>
    <x v="11"/>
    <x v="1"/>
    <n v="1225.8800000000001"/>
    <n v="4"/>
    <n v="349.29"/>
    <n v="0.2"/>
  </r>
  <r>
    <x v="692"/>
    <x v="302"/>
    <x v="28"/>
    <x v="2"/>
    <n v="3951.8"/>
    <n v="1"/>
    <n v="1147.03"/>
    <n v="0.05"/>
  </r>
  <r>
    <x v="693"/>
    <x v="149"/>
    <x v="71"/>
    <x v="1"/>
    <n v="4826.3900000000003"/>
    <n v="8"/>
    <n v="248.98"/>
    <n v="0.2"/>
  </r>
  <r>
    <x v="694"/>
    <x v="18"/>
    <x v="35"/>
    <x v="1"/>
    <n v="531.89"/>
    <n v="10"/>
    <n v="68.58"/>
    <n v="0"/>
  </r>
  <r>
    <x v="695"/>
    <x v="302"/>
    <x v="32"/>
    <x v="2"/>
    <n v="1983.2"/>
    <n v="9"/>
    <n v="684.87"/>
    <n v="0.1"/>
  </r>
  <r>
    <x v="696"/>
    <x v="141"/>
    <x v="91"/>
    <x v="2"/>
    <n v="4821.3"/>
    <n v="8"/>
    <n v="324.18"/>
    <n v="0.15"/>
  </r>
  <r>
    <x v="697"/>
    <x v="173"/>
    <x v="82"/>
    <x v="0"/>
    <n v="1088.3699999999999"/>
    <n v="4"/>
    <n v="268.89999999999998"/>
    <n v="0"/>
  </r>
  <r>
    <x v="698"/>
    <x v="302"/>
    <x v="60"/>
    <x v="1"/>
    <n v="2601.6799999999998"/>
    <n v="1"/>
    <n v="675.23"/>
    <n v="0.1"/>
  </r>
  <r>
    <x v="699"/>
    <x v="180"/>
    <x v="1"/>
    <x v="0"/>
    <n v="3309.59"/>
    <n v="7"/>
    <n v="1134.18"/>
    <n v="0.1"/>
  </r>
  <r>
    <x v="700"/>
    <x v="173"/>
    <x v="14"/>
    <x v="1"/>
    <n v="2036.2"/>
    <n v="2"/>
    <n v="459.82"/>
    <n v="0"/>
  </r>
  <r>
    <x v="701"/>
    <x v="14"/>
    <x v="57"/>
    <x v="0"/>
    <n v="1494.02"/>
    <n v="6"/>
    <n v="446.61"/>
    <n v="0.1"/>
  </r>
  <r>
    <x v="702"/>
    <x v="93"/>
    <x v="56"/>
    <x v="2"/>
    <n v="3071.18"/>
    <n v="1"/>
    <n v="332.79"/>
    <n v="0.1"/>
  </r>
  <r>
    <x v="703"/>
    <x v="16"/>
    <x v="52"/>
    <x v="2"/>
    <n v="2094.96"/>
    <n v="5"/>
    <n v="171.66"/>
    <n v="0.1"/>
  </r>
  <r>
    <x v="704"/>
    <x v="206"/>
    <x v="85"/>
    <x v="2"/>
    <n v="4034.42"/>
    <n v="5"/>
    <n v="1359.65"/>
    <n v="0.15"/>
  </r>
  <r>
    <x v="705"/>
    <x v="137"/>
    <x v="44"/>
    <x v="0"/>
    <n v="2859.53"/>
    <n v="8"/>
    <n v="803.5"/>
    <n v="0.2"/>
  </r>
  <r>
    <x v="706"/>
    <x v="307"/>
    <x v="26"/>
    <x v="2"/>
    <n v="2461.65"/>
    <n v="4"/>
    <n v="313.48"/>
    <n v="0.05"/>
  </r>
  <r>
    <x v="707"/>
    <x v="308"/>
    <x v="42"/>
    <x v="1"/>
    <n v="2120.89"/>
    <n v="5"/>
    <n v="330.71"/>
    <n v="0.05"/>
  </r>
  <r>
    <x v="708"/>
    <x v="309"/>
    <x v="76"/>
    <x v="1"/>
    <n v="555.75"/>
    <n v="9"/>
    <n v="140.11000000000001"/>
    <n v="0.05"/>
  </r>
  <r>
    <x v="709"/>
    <x v="268"/>
    <x v="2"/>
    <x v="0"/>
    <n v="1637.98"/>
    <n v="3"/>
    <n v="189.3"/>
    <n v="0.05"/>
  </r>
  <r>
    <x v="710"/>
    <x v="164"/>
    <x v="96"/>
    <x v="0"/>
    <n v="3711.85"/>
    <n v="4"/>
    <n v="447.12"/>
    <n v="0.05"/>
  </r>
  <r>
    <x v="711"/>
    <x v="310"/>
    <x v="37"/>
    <x v="1"/>
    <n v="4191.21"/>
    <n v="2"/>
    <n v="1261.1400000000001"/>
    <n v="0"/>
  </r>
  <r>
    <x v="712"/>
    <x v="302"/>
    <x v="75"/>
    <x v="1"/>
    <n v="3411.48"/>
    <n v="9"/>
    <n v="849.55"/>
    <n v="0"/>
  </r>
  <r>
    <x v="713"/>
    <x v="311"/>
    <x v="62"/>
    <x v="0"/>
    <n v="1918.86"/>
    <n v="8"/>
    <n v="277.52"/>
    <n v="0.05"/>
  </r>
  <r>
    <x v="714"/>
    <x v="144"/>
    <x v="59"/>
    <x v="2"/>
    <n v="4588.43"/>
    <n v="3"/>
    <n v="615.22"/>
    <n v="0"/>
  </r>
  <r>
    <x v="715"/>
    <x v="1"/>
    <x v="86"/>
    <x v="1"/>
    <n v="4016.42"/>
    <n v="9"/>
    <n v="777.16"/>
    <n v="0.1"/>
  </r>
  <r>
    <x v="716"/>
    <x v="169"/>
    <x v="90"/>
    <x v="1"/>
    <n v="4315.96"/>
    <n v="9"/>
    <n v="1220.43"/>
    <n v="0.15"/>
  </r>
  <r>
    <x v="717"/>
    <x v="312"/>
    <x v="42"/>
    <x v="0"/>
    <n v="3477.13"/>
    <n v="10"/>
    <n v="186.19"/>
    <n v="0"/>
  </r>
  <r>
    <x v="718"/>
    <x v="12"/>
    <x v="89"/>
    <x v="2"/>
    <n v="1871.85"/>
    <n v="5"/>
    <n v="577.55999999999995"/>
    <n v="0.05"/>
  </r>
  <r>
    <x v="719"/>
    <x v="115"/>
    <x v="58"/>
    <x v="1"/>
    <n v="2409.59"/>
    <n v="8"/>
    <n v="563.66"/>
    <n v="0.15"/>
  </r>
  <r>
    <x v="720"/>
    <x v="299"/>
    <x v="87"/>
    <x v="0"/>
    <n v="2153.56"/>
    <n v="5"/>
    <n v="593.65"/>
    <n v="0.15"/>
  </r>
  <r>
    <x v="721"/>
    <x v="313"/>
    <x v="98"/>
    <x v="1"/>
    <n v="2899.91"/>
    <n v="2"/>
    <n v="996.94"/>
    <n v="0.1"/>
  </r>
  <r>
    <x v="722"/>
    <x v="314"/>
    <x v="1"/>
    <x v="1"/>
    <n v="2821.17"/>
    <n v="3"/>
    <n v="865.8"/>
    <n v="0.15"/>
  </r>
  <r>
    <x v="723"/>
    <x v="262"/>
    <x v="82"/>
    <x v="2"/>
    <n v="965.38"/>
    <n v="9"/>
    <n v="192.96"/>
    <n v="0.1"/>
  </r>
  <r>
    <x v="724"/>
    <x v="138"/>
    <x v="83"/>
    <x v="1"/>
    <n v="1570.17"/>
    <n v="7"/>
    <n v="343.3"/>
    <n v="0"/>
  </r>
  <r>
    <x v="725"/>
    <x v="291"/>
    <x v="55"/>
    <x v="0"/>
    <n v="900.38"/>
    <n v="2"/>
    <n v="103.22"/>
    <n v="0.15"/>
  </r>
  <r>
    <x v="726"/>
    <x v="153"/>
    <x v="11"/>
    <x v="2"/>
    <n v="1739.82"/>
    <n v="5"/>
    <n v="275.39"/>
    <n v="0.1"/>
  </r>
  <r>
    <x v="727"/>
    <x v="112"/>
    <x v="77"/>
    <x v="2"/>
    <n v="2117.63"/>
    <n v="4"/>
    <n v="328.93"/>
    <n v="0.2"/>
  </r>
  <r>
    <x v="728"/>
    <x v="152"/>
    <x v="61"/>
    <x v="0"/>
    <n v="3284.34"/>
    <n v="6"/>
    <n v="694.74"/>
    <n v="0.2"/>
  </r>
  <r>
    <x v="729"/>
    <x v="315"/>
    <x v="83"/>
    <x v="0"/>
    <n v="3896.25"/>
    <n v="10"/>
    <n v="717.22"/>
    <n v="0.1"/>
  </r>
  <r>
    <x v="730"/>
    <x v="7"/>
    <x v="40"/>
    <x v="2"/>
    <n v="3195.39"/>
    <n v="6"/>
    <n v="298.62"/>
    <n v="0.15"/>
  </r>
  <r>
    <x v="731"/>
    <x v="83"/>
    <x v="0"/>
    <x v="1"/>
    <n v="3100.32"/>
    <n v="3"/>
    <n v="531.49"/>
    <n v="0.1"/>
  </r>
  <r>
    <x v="732"/>
    <x v="185"/>
    <x v="70"/>
    <x v="0"/>
    <n v="1636.06"/>
    <n v="10"/>
    <n v="402.31"/>
    <n v="0.15"/>
  </r>
  <r>
    <x v="733"/>
    <x v="94"/>
    <x v="58"/>
    <x v="2"/>
    <n v="4449.6899999999996"/>
    <n v="10"/>
    <n v="1265.01"/>
    <n v="0.2"/>
  </r>
  <r>
    <x v="734"/>
    <x v="263"/>
    <x v="41"/>
    <x v="1"/>
    <n v="2128.5500000000002"/>
    <n v="4"/>
    <n v="223.85"/>
    <n v="0.1"/>
  </r>
  <r>
    <x v="735"/>
    <x v="7"/>
    <x v="11"/>
    <x v="0"/>
    <n v="3533.41"/>
    <n v="2"/>
    <n v="261.54000000000002"/>
    <n v="0"/>
  </r>
  <r>
    <x v="736"/>
    <x v="316"/>
    <x v="72"/>
    <x v="1"/>
    <n v="4690.29"/>
    <n v="7"/>
    <n v="900.33"/>
    <n v="0.2"/>
  </r>
  <r>
    <x v="737"/>
    <x v="79"/>
    <x v="59"/>
    <x v="1"/>
    <n v="4980.47"/>
    <n v="2"/>
    <n v="404.31"/>
    <n v="0.15"/>
  </r>
  <r>
    <x v="738"/>
    <x v="108"/>
    <x v="65"/>
    <x v="2"/>
    <n v="1223.8399999999999"/>
    <n v="3"/>
    <n v="332"/>
    <n v="0.05"/>
  </r>
  <r>
    <x v="739"/>
    <x v="71"/>
    <x v="86"/>
    <x v="0"/>
    <n v="4208.74"/>
    <n v="6"/>
    <n v="246.51"/>
    <n v="0.15"/>
  </r>
  <r>
    <x v="740"/>
    <x v="87"/>
    <x v="40"/>
    <x v="2"/>
    <n v="4877.41"/>
    <n v="8"/>
    <n v="1034.8699999999999"/>
    <n v="0.05"/>
  </r>
  <r>
    <x v="741"/>
    <x v="109"/>
    <x v="33"/>
    <x v="2"/>
    <n v="2742.51"/>
    <n v="10"/>
    <n v="623.23"/>
    <n v="0.15"/>
  </r>
  <r>
    <x v="742"/>
    <x v="202"/>
    <x v="86"/>
    <x v="0"/>
    <n v="3234.95"/>
    <n v="9"/>
    <n v="679.78"/>
    <n v="0.05"/>
  </r>
  <r>
    <x v="743"/>
    <x v="317"/>
    <x v="7"/>
    <x v="1"/>
    <n v="2265.12"/>
    <n v="5"/>
    <n v="361.82"/>
    <n v="0"/>
  </r>
  <r>
    <x v="744"/>
    <x v="318"/>
    <x v="99"/>
    <x v="0"/>
    <n v="2664.25"/>
    <n v="5"/>
    <n v="739.3"/>
    <n v="0.15"/>
  </r>
  <r>
    <x v="745"/>
    <x v="11"/>
    <x v="5"/>
    <x v="0"/>
    <n v="140.75"/>
    <n v="1"/>
    <n v="45.97"/>
    <n v="0.15"/>
  </r>
  <r>
    <x v="746"/>
    <x v="46"/>
    <x v="97"/>
    <x v="0"/>
    <n v="3025.32"/>
    <n v="4"/>
    <n v="874.41"/>
    <n v="0.15"/>
  </r>
  <r>
    <x v="747"/>
    <x v="176"/>
    <x v="63"/>
    <x v="0"/>
    <n v="2241.8200000000002"/>
    <n v="7"/>
    <n v="280.16000000000003"/>
    <n v="0.05"/>
  </r>
  <r>
    <x v="748"/>
    <x v="158"/>
    <x v="9"/>
    <x v="2"/>
    <n v="488.13"/>
    <n v="5"/>
    <n v="115.98"/>
    <n v="0.1"/>
  </r>
  <r>
    <x v="749"/>
    <x v="229"/>
    <x v="67"/>
    <x v="1"/>
    <n v="3740.34"/>
    <n v="2"/>
    <n v="1094.58"/>
    <n v="0.05"/>
  </r>
  <r>
    <x v="750"/>
    <x v="79"/>
    <x v="80"/>
    <x v="0"/>
    <n v="1519.02"/>
    <n v="5"/>
    <n v="366.19"/>
    <n v="0.2"/>
  </r>
  <r>
    <x v="751"/>
    <x v="271"/>
    <x v="83"/>
    <x v="2"/>
    <n v="1020.17"/>
    <n v="1"/>
    <n v="56.94"/>
    <n v="0.05"/>
  </r>
  <r>
    <x v="752"/>
    <x v="284"/>
    <x v="51"/>
    <x v="2"/>
    <n v="1482.36"/>
    <n v="1"/>
    <n v="129.72"/>
    <n v="0.05"/>
  </r>
  <r>
    <x v="753"/>
    <x v="309"/>
    <x v="7"/>
    <x v="0"/>
    <n v="838.35"/>
    <n v="5"/>
    <n v="166.06"/>
    <n v="0.15"/>
  </r>
  <r>
    <x v="754"/>
    <x v="35"/>
    <x v="79"/>
    <x v="1"/>
    <n v="2372.0500000000002"/>
    <n v="3"/>
    <n v="681.79"/>
    <n v="0"/>
  </r>
  <r>
    <x v="755"/>
    <x v="287"/>
    <x v="58"/>
    <x v="1"/>
    <n v="3900.7"/>
    <n v="4"/>
    <n v="278.57"/>
    <n v="0.1"/>
  </r>
  <r>
    <x v="756"/>
    <x v="44"/>
    <x v="44"/>
    <x v="0"/>
    <n v="4158.4399999999996"/>
    <n v="8"/>
    <n v="360.07"/>
    <n v="0.05"/>
  </r>
  <r>
    <x v="757"/>
    <x v="283"/>
    <x v="88"/>
    <x v="2"/>
    <n v="4973.22"/>
    <n v="4"/>
    <n v="545.83000000000004"/>
    <n v="0.15"/>
  </r>
  <r>
    <x v="758"/>
    <x v="242"/>
    <x v="71"/>
    <x v="1"/>
    <n v="3439.07"/>
    <n v="1"/>
    <n v="493.96"/>
    <n v="0.2"/>
  </r>
  <r>
    <x v="759"/>
    <x v="50"/>
    <x v="54"/>
    <x v="1"/>
    <n v="698.49"/>
    <n v="6"/>
    <n v="135.76"/>
    <n v="0"/>
  </r>
  <r>
    <x v="760"/>
    <x v="227"/>
    <x v="14"/>
    <x v="0"/>
    <n v="1167.1600000000001"/>
    <n v="6"/>
    <n v="97.9"/>
    <n v="0"/>
  </r>
  <r>
    <x v="761"/>
    <x v="139"/>
    <x v="49"/>
    <x v="1"/>
    <n v="3992.51"/>
    <n v="1"/>
    <n v="899.95"/>
    <n v="0"/>
  </r>
  <r>
    <x v="762"/>
    <x v="124"/>
    <x v="23"/>
    <x v="1"/>
    <n v="3939.03"/>
    <n v="6"/>
    <n v="758.58"/>
    <n v="0"/>
  </r>
  <r>
    <x v="763"/>
    <x v="79"/>
    <x v="39"/>
    <x v="0"/>
    <n v="872.72"/>
    <n v="1"/>
    <n v="67.569999999999993"/>
    <n v="0"/>
  </r>
  <r>
    <x v="764"/>
    <x v="43"/>
    <x v="24"/>
    <x v="1"/>
    <n v="3258.42"/>
    <n v="8"/>
    <n v="848.49"/>
    <n v="0.05"/>
  </r>
  <r>
    <x v="765"/>
    <x v="202"/>
    <x v="42"/>
    <x v="0"/>
    <n v="4910.21"/>
    <n v="4"/>
    <n v="1407.11"/>
    <n v="0"/>
  </r>
  <r>
    <x v="766"/>
    <x v="157"/>
    <x v="55"/>
    <x v="1"/>
    <n v="1951.07"/>
    <n v="8"/>
    <n v="521.55999999999995"/>
    <n v="0.15"/>
  </r>
  <r>
    <x v="767"/>
    <x v="122"/>
    <x v="63"/>
    <x v="2"/>
    <n v="1544.1"/>
    <n v="3"/>
    <n v="400.09"/>
    <n v="0.2"/>
  </r>
  <r>
    <x v="768"/>
    <x v="319"/>
    <x v="16"/>
    <x v="2"/>
    <n v="1686.04"/>
    <n v="3"/>
    <n v="321.22000000000003"/>
    <n v="0"/>
  </r>
  <r>
    <x v="769"/>
    <x v="273"/>
    <x v="86"/>
    <x v="2"/>
    <n v="859.62"/>
    <n v="6"/>
    <n v="119.23"/>
    <n v="0.15"/>
  </r>
  <r>
    <x v="770"/>
    <x v="320"/>
    <x v="99"/>
    <x v="1"/>
    <n v="3902"/>
    <n v="10"/>
    <n v="787.37"/>
    <n v="0.1"/>
  </r>
  <r>
    <x v="771"/>
    <x v="235"/>
    <x v="92"/>
    <x v="2"/>
    <n v="3138.97"/>
    <n v="9"/>
    <n v="458.94"/>
    <n v="0.15"/>
  </r>
  <r>
    <x v="772"/>
    <x v="81"/>
    <x v="30"/>
    <x v="1"/>
    <n v="2667.94"/>
    <n v="10"/>
    <n v="531.63"/>
    <n v="0.1"/>
  </r>
  <r>
    <x v="773"/>
    <x v="132"/>
    <x v="89"/>
    <x v="2"/>
    <n v="2108.04"/>
    <n v="2"/>
    <n v="309.05"/>
    <n v="0"/>
  </r>
  <r>
    <x v="774"/>
    <x v="43"/>
    <x v="48"/>
    <x v="0"/>
    <n v="975.33"/>
    <n v="4"/>
    <n v="57.92"/>
    <n v="0"/>
  </r>
  <r>
    <x v="775"/>
    <x v="321"/>
    <x v="95"/>
    <x v="0"/>
    <n v="2897.96"/>
    <n v="9"/>
    <n v="871.97"/>
    <n v="0.2"/>
  </r>
  <r>
    <x v="776"/>
    <x v="144"/>
    <x v="33"/>
    <x v="2"/>
    <n v="2992.47"/>
    <n v="2"/>
    <n v="193.69"/>
    <n v="0"/>
  </r>
  <r>
    <x v="777"/>
    <x v="315"/>
    <x v="87"/>
    <x v="0"/>
    <n v="3313.17"/>
    <n v="1"/>
    <n v="1088.45"/>
    <n v="0.1"/>
  </r>
  <r>
    <x v="778"/>
    <x v="243"/>
    <x v="63"/>
    <x v="2"/>
    <n v="3743.04"/>
    <n v="1"/>
    <n v="1187.03"/>
    <n v="0.2"/>
  </r>
  <r>
    <x v="779"/>
    <x v="78"/>
    <x v="58"/>
    <x v="1"/>
    <n v="2692.2"/>
    <n v="4"/>
    <n v="727.68"/>
    <n v="0.2"/>
  </r>
  <r>
    <x v="780"/>
    <x v="172"/>
    <x v="73"/>
    <x v="1"/>
    <n v="596"/>
    <n v="4"/>
    <n v="71.11"/>
    <n v="0.2"/>
  </r>
  <r>
    <x v="781"/>
    <x v="322"/>
    <x v="3"/>
    <x v="2"/>
    <n v="1318.94"/>
    <n v="9"/>
    <n v="313.38"/>
    <n v="0.15"/>
  </r>
  <r>
    <x v="782"/>
    <x v="110"/>
    <x v="11"/>
    <x v="2"/>
    <n v="617.02"/>
    <n v="8"/>
    <n v="149.06"/>
    <n v="0.15"/>
  </r>
  <r>
    <x v="783"/>
    <x v="92"/>
    <x v="51"/>
    <x v="2"/>
    <n v="917.37"/>
    <n v="6"/>
    <n v="95.52"/>
    <n v="0.05"/>
  </r>
  <r>
    <x v="784"/>
    <x v="323"/>
    <x v="5"/>
    <x v="0"/>
    <n v="4992.32"/>
    <n v="9"/>
    <n v="913.11"/>
    <n v="0.1"/>
  </r>
  <r>
    <x v="785"/>
    <x v="242"/>
    <x v="79"/>
    <x v="2"/>
    <n v="2120.48"/>
    <n v="4"/>
    <n v="508.86"/>
    <n v="0.2"/>
  </r>
  <r>
    <x v="786"/>
    <x v="291"/>
    <x v="17"/>
    <x v="0"/>
    <n v="1148.25"/>
    <n v="8"/>
    <n v="321.18"/>
    <n v="0.15"/>
  </r>
  <r>
    <x v="787"/>
    <x v="152"/>
    <x v="90"/>
    <x v="2"/>
    <n v="100.96"/>
    <n v="1"/>
    <n v="6.1"/>
    <n v="0.2"/>
  </r>
  <r>
    <x v="788"/>
    <x v="181"/>
    <x v="80"/>
    <x v="1"/>
    <n v="4967.72"/>
    <n v="4"/>
    <n v="698.23"/>
    <n v="0.1"/>
  </r>
  <r>
    <x v="789"/>
    <x v="252"/>
    <x v="77"/>
    <x v="2"/>
    <n v="3880.46"/>
    <n v="9"/>
    <n v="1292.21"/>
    <n v="0.2"/>
  </r>
  <r>
    <x v="790"/>
    <x v="30"/>
    <x v="61"/>
    <x v="0"/>
    <n v="4637.0200000000004"/>
    <n v="6"/>
    <n v="447.08"/>
    <n v="0.05"/>
  </r>
  <r>
    <x v="791"/>
    <x v="44"/>
    <x v="80"/>
    <x v="1"/>
    <n v="1398.44"/>
    <n v="5"/>
    <n v="443.15"/>
    <n v="0.1"/>
  </r>
  <r>
    <x v="792"/>
    <x v="59"/>
    <x v="7"/>
    <x v="2"/>
    <n v="2895.39"/>
    <n v="2"/>
    <n v="639.07000000000005"/>
    <n v="0.1"/>
  </r>
  <r>
    <x v="793"/>
    <x v="324"/>
    <x v="62"/>
    <x v="2"/>
    <n v="947.22"/>
    <n v="10"/>
    <n v="282"/>
    <n v="0"/>
  </r>
  <r>
    <x v="794"/>
    <x v="186"/>
    <x v="60"/>
    <x v="0"/>
    <n v="3247.05"/>
    <n v="2"/>
    <n v="198.76"/>
    <n v="0"/>
  </r>
  <r>
    <x v="795"/>
    <x v="279"/>
    <x v="94"/>
    <x v="0"/>
    <n v="1738.51"/>
    <n v="2"/>
    <n v="545.78"/>
    <n v="0.05"/>
  </r>
  <r>
    <x v="796"/>
    <x v="325"/>
    <x v="11"/>
    <x v="2"/>
    <n v="3298.62"/>
    <n v="7"/>
    <n v="760.96"/>
    <n v="0"/>
  </r>
  <r>
    <x v="797"/>
    <x v="303"/>
    <x v="65"/>
    <x v="1"/>
    <n v="2669.48"/>
    <n v="6"/>
    <n v="389.2"/>
    <n v="0.2"/>
  </r>
  <r>
    <x v="798"/>
    <x v="231"/>
    <x v="33"/>
    <x v="0"/>
    <n v="1181.9100000000001"/>
    <n v="10"/>
    <n v="77.010000000000005"/>
    <n v="0.2"/>
  </r>
  <r>
    <x v="799"/>
    <x v="231"/>
    <x v="69"/>
    <x v="1"/>
    <n v="541.41"/>
    <n v="3"/>
    <n v="97.23"/>
    <n v="0.1"/>
  </r>
  <r>
    <x v="800"/>
    <x v="46"/>
    <x v="75"/>
    <x v="0"/>
    <n v="2431.69"/>
    <n v="5"/>
    <n v="665.3"/>
    <n v="0"/>
  </r>
  <r>
    <x v="801"/>
    <x v="285"/>
    <x v="28"/>
    <x v="1"/>
    <n v="2558.9299999999998"/>
    <n v="8"/>
    <n v="722"/>
    <n v="0.2"/>
  </r>
  <r>
    <x v="802"/>
    <x v="314"/>
    <x v="37"/>
    <x v="2"/>
    <n v="2490.52"/>
    <n v="10"/>
    <n v="611.86"/>
    <n v="0.2"/>
  </r>
  <r>
    <x v="803"/>
    <x v="326"/>
    <x v="39"/>
    <x v="0"/>
    <n v="1287.3399999999999"/>
    <n v="10"/>
    <n v="167.2"/>
    <n v="0"/>
  </r>
  <r>
    <x v="804"/>
    <x v="233"/>
    <x v="85"/>
    <x v="1"/>
    <n v="3391.56"/>
    <n v="6"/>
    <n v="600.52"/>
    <n v="0.1"/>
  </r>
  <r>
    <x v="805"/>
    <x v="39"/>
    <x v="60"/>
    <x v="0"/>
    <n v="3311.51"/>
    <n v="10"/>
    <n v="930.22"/>
    <n v="0.15"/>
  </r>
  <r>
    <x v="806"/>
    <x v="247"/>
    <x v="25"/>
    <x v="1"/>
    <n v="814.51"/>
    <n v="6"/>
    <n v="51.69"/>
    <n v="0.05"/>
  </r>
  <r>
    <x v="807"/>
    <x v="316"/>
    <x v="47"/>
    <x v="1"/>
    <n v="3669.59"/>
    <n v="10"/>
    <n v="277.95"/>
    <n v="0.05"/>
  </r>
  <r>
    <x v="808"/>
    <x v="125"/>
    <x v="76"/>
    <x v="0"/>
    <n v="167.29"/>
    <n v="8"/>
    <n v="43.18"/>
    <n v="0.15"/>
  </r>
  <r>
    <x v="809"/>
    <x v="327"/>
    <x v="77"/>
    <x v="1"/>
    <n v="1726.2"/>
    <n v="9"/>
    <n v="469.53"/>
    <n v="0.2"/>
  </r>
  <r>
    <x v="810"/>
    <x v="85"/>
    <x v="47"/>
    <x v="2"/>
    <n v="1367.42"/>
    <n v="1"/>
    <n v="266.52"/>
    <n v="0.15"/>
  </r>
  <r>
    <x v="811"/>
    <x v="291"/>
    <x v="23"/>
    <x v="1"/>
    <n v="4539.6000000000004"/>
    <n v="1"/>
    <n v="944.42"/>
    <n v="0.1"/>
  </r>
  <r>
    <x v="812"/>
    <x v="316"/>
    <x v="37"/>
    <x v="0"/>
    <n v="3967.02"/>
    <n v="1"/>
    <n v="933.79"/>
    <n v="0"/>
  </r>
  <r>
    <x v="813"/>
    <x v="127"/>
    <x v="71"/>
    <x v="0"/>
    <n v="3335.83"/>
    <n v="2"/>
    <n v="830.27"/>
    <n v="0"/>
  </r>
  <r>
    <x v="814"/>
    <x v="304"/>
    <x v="97"/>
    <x v="0"/>
    <n v="4350.3100000000004"/>
    <n v="9"/>
    <n v="1065.06"/>
    <n v="0"/>
  </r>
  <r>
    <x v="815"/>
    <x v="328"/>
    <x v="42"/>
    <x v="1"/>
    <n v="2474.84"/>
    <n v="4"/>
    <n v="567.05999999999995"/>
    <n v="0.2"/>
  </r>
  <r>
    <x v="816"/>
    <x v="90"/>
    <x v="27"/>
    <x v="1"/>
    <n v="2847.37"/>
    <n v="9"/>
    <n v="750.97"/>
    <n v="0.1"/>
  </r>
  <r>
    <x v="817"/>
    <x v="329"/>
    <x v="93"/>
    <x v="0"/>
    <n v="2500.67"/>
    <n v="6"/>
    <n v="683.48"/>
    <n v="0.1"/>
  </r>
  <r>
    <x v="818"/>
    <x v="301"/>
    <x v="0"/>
    <x v="0"/>
    <n v="1581.4"/>
    <n v="1"/>
    <n v="551.59"/>
    <n v="0.1"/>
  </r>
  <r>
    <x v="819"/>
    <x v="175"/>
    <x v="71"/>
    <x v="2"/>
    <n v="4462.97"/>
    <n v="5"/>
    <n v="1314.16"/>
    <n v="0.05"/>
  </r>
  <r>
    <x v="820"/>
    <x v="140"/>
    <x v="10"/>
    <x v="1"/>
    <n v="1774.75"/>
    <n v="7"/>
    <n v="297.89999999999998"/>
    <n v="0.2"/>
  </r>
  <r>
    <x v="821"/>
    <x v="31"/>
    <x v="12"/>
    <x v="0"/>
    <n v="3101"/>
    <n v="4"/>
    <n v="736.98"/>
    <n v="0.2"/>
  </r>
  <r>
    <x v="822"/>
    <x v="21"/>
    <x v="10"/>
    <x v="0"/>
    <n v="2189.6799999999998"/>
    <n v="8"/>
    <n v="314.69"/>
    <n v="0.2"/>
  </r>
  <r>
    <x v="823"/>
    <x v="297"/>
    <x v="48"/>
    <x v="2"/>
    <n v="1113.1099999999999"/>
    <n v="4"/>
    <n v="101.93"/>
    <n v="0.05"/>
  </r>
  <r>
    <x v="824"/>
    <x v="318"/>
    <x v="65"/>
    <x v="0"/>
    <n v="3473.81"/>
    <n v="3"/>
    <n v="1110.21"/>
    <n v="0.2"/>
  </r>
  <r>
    <x v="825"/>
    <x v="237"/>
    <x v="21"/>
    <x v="1"/>
    <n v="1655.73"/>
    <n v="6"/>
    <n v="359.63"/>
    <n v="0.05"/>
  </r>
  <r>
    <x v="826"/>
    <x v="229"/>
    <x v="29"/>
    <x v="0"/>
    <n v="244.47"/>
    <n v="5"/>
    <n v="35.6"/>
    <n v="0.15"/>
  </r>
  <r>
    <x v="827"/>
    <x v="111"/>
    <x v="11"/>
    <x v="1"/>
    <n v="4675.47"/>
    <n v="4"/>
    <n v="1487.92"/>
    <n v="0"/>
  </r>
  <r>
    <x v="828"/>
    <x v="195"/>
    <x v="48"/>
    <x v="2"/>
    <n v="1005.26"/>
    <n v="5"/>
    <n v="280.2"/>
    <n v="0.2"/>
  </r>
  <r>
    <x v="829"/>
    <x v="304"/>
    <x v="15"/>
    <x v="2"/>
    <n v="3100.57"/>
    <n v="1"/>
    <n v="709.75"/>
    <n v="0.1"/>
  </r>
  <r>
    <x v="830"/>
    <x v="156"/>
    <x v="75"/>
    <x v="2"/>
    <n v="3471.89"/>
    <n v="8"/>
    <n v="670.01"/>
    <n v="0.1"/>
  </r>
  <r>
    <x v="831"/>
    <x v="140"/>
    <x v="98"/>
    <x v="1"/>
    <n v="4275.43"/>
    <n v="4"/>
    <n v="844.11"/>
    <n v="0.05"/>
  </r>
  <r>
    <x v="832"/>
    <x v="65"/>
    <x v="95"/>
    <x v="0"/>
    <n v="2102.09"/>
    <n v="4"/>
    <n v="716.07"/>
    <n v="0.05"/>
  </r>
  <r>
    <x v="833"/>
    <x v="284"/>
    <x v="47"/>
    <x v="2"/>
    <n v="1102.3499999999999"/>
    <n v="8"/>
    <n v="113.68"/>
    <n v="0.1"/>
  </r>
  <r>
    <x v="834"/>
    <x v="26"/>
    <x v="27"/>
    <x v="2"/>
    <n v="4449.18"/>
    <n v="7"/>
    <n v="793.14"/>
    <n v="0.1"/>
  </r>
  <r>
    <x v="835"/>
    <x v="45"/>
    <x v="90"/>
    <x v="2"/>
    <n v="3096.37"/>
    <n v="9"/>
    <n v="844.51"/>
    <n v="0"/>
  </r>
  <r>
    <x v="836"/>
    <x v="26"/>
    <x v="54"/>
    <x v="1"/>
    <n v="635.65"/>
    <n v="9"/>
    <n v="118.91"/>
    <n v="0.2"/>
  </r>
  <r>
    <x v="837"/>
    <x v="238"/>
    <x v="90"/>
    <x v="2"/>
    <n v="4920.7700000000004"/>
    <n v="1"/>
    <n v="303.98"/>
    <n v="0.05"/>
  </r>
  <r>
    <x v="838"/>
    <x v="9"/>
    <x v="97"/>
    <x v="0"/>
    <n v="2253.81"/>
    <n v="3"/>
    <n v="710.67"/>
    <n v="0.15"/>
  </r>
  <r>
    <x v="839"/>
    <x v="158"/>
    <x v="97"/>
    <x v="1"/>
    <n v="3104.36"/>
    <n v="8"/>
    <n v="206.02"/>
    <n v="0.15"/>
  </r>
  <r>
    <x v="840"/>
    <x v="49"/>
    <x v="7"/>
    <x v="2"/>
    <n v="3640.97"/>
    <n v="9"/>
    <n v="305.66000000000003"/>
    <n v="0.05"/>
  </r>
  <r>
    <x v="841"/>
    <x v="322"/>
    <x v="90"/>
    <x v="0"/>
    <n v="2126.44"/>
    <n v="10"/>
    <n v="393.96"/>
    <n v="0.05"/>
  </r>
  <r>
    <x v="842"/>
    <x v="104"/>
    <x v="27"/>
    <x v="2"/>
    <n v="541.88"/>
    <n v="3"/>
    <n v="79.78"/>
    <n v="0"/>
  </r>
  <r>
    <x v="843"/>
    <x v="94"/>
    <x v="7"/>
    <x v="1"/>
    <n v="659.41"/>
    <n v="9"/>
    <n v="121.87"/>
    <n v="0.15"/>
  </r>
  <r>
    <x v="844"/>
    <x v="190"/>
    <x v="29"/>
    <x v="0"/>
    <n v="3976.23"/>
    <n v="9"/>
    <n v="809.16"/>
    <n v="0.15"/>
  </r>
  <r>
    <x v="845"/>
    <x v="303"/>
    <x v="13"/>
    <x v="2"/>
    <n v="3864.48"/>
    <n v="3"/>
    <n v="1250.8399999999999"/>
    <n v="0.05"/>
  </r>
  <r>
    <x v="846"/>
    <x v="270"/>
    <x v="74"/>
    <x v="0"/>
    <n v="976.45"/>
    <n v="5"/>
    <n v="257.41000000000003"/>
    <n v="0.15"/>
  </r>
  <r>
    <x v="847"/>
    <x v="95"/>
    <x v="76"/>
    <x v="1"/>
    <n v="3169.62"/>
    <n v="1"/>
    <n v="270.26"/>
    <n v="0.2"/>
  </r>
  <r>
    <x v="848"/>
    <x v="330"/>
    <x v="59"/>
    <x v="2"/>
    <n v="1340.24"/>
    <n v="1"/>
    <n v="251.42"/>
    <n v="0.2"/>
  </r>
  <r>
    <x v="849"/>
    <x v="41"/>
    <x v="96"/>
    <x v="0"/>
    <n v="1265.5999999999999"/>
    <n v="7"/>
    <n v="286.86"/>
    <n v="0.15"/>
  </r>
  <r>
    <x v="850"/>
    <x v="46"/>
    <x v="75"/>
    <x v="0"/>
    <n v="3045.96"/>
    <n v="10"/>
    <n v="158.30000000000001"/>
    <n v="0.2"/>
  </r>
  <r>
    <x v="851"/>
    <x v="19"/>
    <x v="87"/>
    <x v="0"/>
    <n v="339.7"/>
    <n v="1"/>
    <n v="32.090000000000003"/>
    <n v="0.05"/>
  </r>
  <r>
    <x v="852"/>
    <x v="50"/>
    <x v="95"/>
    <x v="0"/>
    <n v="3368.28"/>
    <n v="2"/>
    <n v="1015.21"/>
    <n v="0"/>
  </r>
  <r>
    <x v="853"/>
    <x v="211"/>
    <x v="51"/>
    <x v="0"/>
    <n v="2143.09"/>
    <n v="10"/>
    <n v="221.76"/>
    <n v="0.2"/>
  </r>
  <r>
    <x v="854"/>
    <x v="109"/>
    <x v="61"/>
    <x v="2"/>
    <n v="3957.81"/>
    <n v="10"/>
    <n v="408.55"/>
    <n v="0.1"/>
  </r>
  <r>
    <x v="855"/>
    <x v="243"/>
    <x v="95"/>
    <x v="0"/>
    <n v="556.32000000000005"/>
    <n v="2"/>
    <n v="77.77"/>
    <n v="0.15"/>
  </r>
  <r>
    <x v="856"/>
    <x v="331"/>
    <x v="57"/>
    <x v="2"/>
    <n v="418.14"/>
    <n v="5"/>
    <n v="79.97"/>
    <n v="0.1"/>
  </r>
  <r>
    <x v="857"/>
    <x v="312"/>
    <x v="86"/>
    <x v="2"/>
    <n v="2127.41"/>
    <n v="1"/>
    <n v="240.3"/>
    <n v="0"/>
  </r>
  <r>
    <x v="858"/>
    <x v="180"/>
    <x v="61"/>
    <x v="0"/>
    <n v="3675.67"/>
    <n v="10"/>
    <n v="877.36"/>
    <n v="0.1"/>
  </r>
  <r>
    <x v="859"/>
    <x v="126"/>
    <x v="84"/>
    <x v="2"/>
    <n v="3083.34"/>
    <n v="10"/>
    <n v="446.92"/>
    <n v="0.1"/>
  </r>
  <r>
    <x v="860"/>
    <x v="147"/>
    <x v="48"/>
    <x v="0"/>
    <n v="3110.02"/>
    <n v="8"/>
    <n v="618.64"/>
    <n v="0.05"/>
  </r>
  <r>
    <x v="861"/>
    <x v="75"/>
    <x v="34"/>
    <x v="1"/>
    <n v="1240.3399999999999"/>
    <n v="2"/>
    <n v="170.11"/>
    <n v="0"/>
  </r>
  <r>
    <x v="862"/>
    <x v="223"/>
    <x v="40"/>
    <x v="2"/>
    <n v="3164.76"/>
    <n v="7"/>
    <n v="270.2"/>
    <n v="0.15"/>
  </r>
  <r>
    <x v="863"/>
    <x v="47"/>
    <x v="13"/>
    <x v="1"/>
    <n v="1735.58"/>
    <n v="1"/>
    <n v="378.57"/>
    <n v="0.05"/>
  </r>
  <r>
    <x v="864"/>
    <x v="228"/>
    <x v="55"/>
    <x v="0"/>
    <n v="1479.97"/>
    <n v="9"/>
    <n v="424.84"/>
    <n v="0.2"/>
  </r>
  <r>
    <x v="865"/>
    <x v="98"/>
    <x v="89"/>
    <x v="0"/>
    <n v="3858.46"/>
    <n v="7"/>
    <n v="324.69"/>
    <n v="0.2"/>
  </r>
  <r>
    <x v="866"/>
    <x v="75"/>
    <x v="34"/>
    <x v="0"/>
    <n v="4804.55"/>
    <n v="6"/>
    <n v="1439.5"/>
    <n v="0.15"/>
  </r>
  <r>
    <x v="867"/>
    <x v="116"/>
    <x v="2"/>
    <x v="1"/>
    <n v="4006.55"/>
    <n v="8"/>
    <n v="976.38"/>
    <n v="0.2"/>
  </r>
  <r>
    <x v="868"/>
    <x v="184"/>
    <x v="93"/>
    <x v="2"/>
    <n v="2366.1"/>
    <n v="5"/>
    <n v="696.22"/>
    <n v="0.2"/>
  </r>
  <r>
    <x v="869"/>
    <x v="329"/>
    <x v="32"/>
    <x v="1"/>
    <n v="3423.17"/>
    <n v="10"/>
    <n v="741.3"/>
    <n v="0.1"/>
  </r>
  <r>
    <x v="870"/>
    <x v="175"/>
    <x v="24"/>
    <x v="0"/>
    <n v="424.44"/>
    <n v="7"/>
    <n v="40.229999999999997"/>
    <n v="0.2"/>
  </r>
  <r>
    <x v="871"/>
    <x v="45"/>
    <x v="49"/>
    <x v="1"/>
    <n v="2897.81"/>
    <n v="5"/>
    <n v="483.56"/>
    <n v="0.1"/>
  </r>
  <r>
    <x v="872"/>
    <x v="278"/>
    <x v="43"/>
    <x v="1"/>
    <n v="254.98"/>
    <n v="6"/>
    <n v="44.41"/>
    <n v="0.15"/>
  </r>
  <r>
    <x v="873"/>
    <x v="207"/>
    <x v="18"/>
    <x v="0"/>
    <n v="1159.0899999999999"/>
    <n v="1"/>
    <n v="163.08000000000001"/>
    <n v="0.05"/>
  </r>
  <r>
    <x v="874"/>
    <x v="74"/>
    <x v="7"/>
    <x v="2"/>
    <n v="2274.4899999999998"/>
    <n v="3"/>
    <n v="130.74"/>
    <n v="0.05"/>
  </r>
  <r>
    <x v="875"/>
    <x v="332"/>
    <x v="53"/>
    <x v="0"/>
    <n v="4625.82"/>
    <n v="6"/>
    <n v="1247.73"/>
    <n v="0.05"/>
  </r>
  <r>
    <x v="876"/>
    <x v="158"/>
    <x v="94"/>
    <x v="2"/>
    <n v="4371.82"/>
    <n v="3"/>
    <n v="1296.8599999999999"/>
    <n v="0.05"/>
  </r>
  <r>
    <x v="877"/>
    <x v="282"/>
    <x v="32"/>
    <x v="1"/>
    <n v="279.11"/>
    <n v="1"/>
    <n v="46.41"/>
    <n v="0.1"/>
  </r>
  <r>
    <x v="878"/>
    <x v="180"/>
    <x v="13"/>
    <x v="0"/>
    <n v="3466.56"/>
    <n v="8"/>
    <n v="791.37"/>
    <n v="0"/>
  </r>
  <r>
    <x v="879"/>
    <x v="333"/>
    <x v="51"/>
    <x v="1"/>
    <n v="2650.83"/>
    <n v="10"/>
    <n v="656.6"/>
    <n v="0.1"/>
  </r>
  <r>
    <x v="880"/>
    <x v="73"/>
    <x v="20"/>
    <x v="0"/>
    <n v="4471.46"/>
    <n v="5"/>
    <n v="654.01"/>
    <n v="0.2"/>
  </r>
  <r>
    <x v="881"/>
    <x v="87"/>
    <x v="42"/>
    <x v="1"/>
    <n v="3886.66"/>
    <n v="3"/>
    <n v="976.86"/>
    <n v="0.1"/>
  </r>
  <r>
    <x v="882"/>
    <x v="163"/>
    <x v="85"/>
    <x v="1"/>
    <n v="174.76"/>
    <n v="4"/>
    <n v="41.4"/>
    <n v="0.2"/>
  </r>
  <r>
    <x v="883"/>
    <x v="178"/>
    <x v="16"/>
    <x v="0"/>
    <n v="2791.89"/>
    <n v="10"/>
    <n v="366.62"/>
    <n v="0.05"/>
  </r>
  <r>
    <x v="884"/>
    <x v="137"/>
    <x v="49"/>
    <x v="2"/>
    <n v="449.09"/>
    <n v="8"/>
    <n v="105.08"/>
    <n v="0"/>
  </r>
  <r>
    <x v="885"/>
    <x v="271"/>
    <x v="48"/>
    <x v="1"/>
    <n v="242.06"/>
    <n v="7"/>
    <n v="77.7"/>
    <n v="0"/>
  </r>
  <r>
    <x v="886"/>
    <x v="124"/>
    <x v="7"/>
    <x v="2"/>
    <n v="2189.6799999999998"/>
    <n v="8"/>
    <n v="227.06"/>
    <n v="0.2"/>
  </r>
  <r>
    <x v="887"/>
    <x v="91"/>
    <x v="24"/>
    <x v="2"/>
    <n v="1630.96"/>
    <n v="2"/>
    <n v="481.51"/>
    <n v="0.15"/>
  </r>
  <r>
    <x v="888"/>
    <x v="99"/>
    <x v="15"/>
    <x v="0"/>
    <n v="745.8"/>
    <n v="2"/>
    <n v="219.16"/>
    <n v="0.15"/>
  </r>
  <r>
    <x v="889"/>
    <x v="259"/>
    <x v="65"/>
    <x v="0"/>
    <n v="3453.94"/>
    <n v="4"/>
    <n v="908.61"/>
    <n v="0.05"/>
  </r>
  <r>
    <x v="890"/>
    <x v="299"/>
    <x v="74"/>
    <x v="0"/>
    <n v="4319.37"/>
    <n v="3"/>
    <n v="1015.41"/>
    <n v="0.1"/>
  </r>
  <r>
    <x v="891"/>
    <x v="41"/>
    <x v="89"/>
    <x v="1"/>
    <n v="2321.09"/>
    <n v="6"/>
    <n v="137.13"/>
    <n v="0.15"/>
  </r>
  <r>
    <x v="892"/>
    <x v="233"/>
    <x v="40"/>
    <x v="2"/>
    <n v="4244.25"/>
    <n v="10"/>
    <n v="571.6"/>
    <n v="0.05"/>
  </r>
  <r>
    <x v="893"/>
    <x v="43"/>
    <x v="36"/>
    <x v="0"/>
    <n v="604.37"/>
    <n v="9"/>
    <n v="178.45"/>
    <n v="0"/>
  </r>
  <r>
    <x v="894"/>
    <x v="229"/>
    <x v="18"/>
    <x v="1"/>
    <n v="2710.45"/>
    <n v="10"/>
    <n v="461.44"/>
    <n v="0.05"/>
  </r>
  <r>
    <x v="895"/>
    <x v="281"/>
    <x v="57"/>
    <x v="0"/>
    <n v="879.2"/>
    <n v="4"/>
    <n v="171.19"/>
    <n v="0.2"/>
  </r>
  <r>
    <x v="896"/>
    <x v="309"/>
    <x v="35"/>
    <x v="2"/>
    <n v="3943.14"/>
    <n v="4"/>
    <n v="712.16"/>
    <n v="0.05"/>
  </r>
  <r>
    <x v="897"/>
    <x v="300"/>
    <x v="3"/>
    <x v="2"/>
    <n v="3381.07"/>
    <n v="8"/>
    <n v="919.01"/>
    <n v="0"/>
  </r>
  <r>
    <x v="898"/>
    <x v="132"/>
    <x v="81"/>
    <x v="0"/>
    <n v="3020.77"/>
    <n v="3"/>
    <n v="445.91"/>
    <n v="0.1"/>
  </r>
  <r>
    <x v="899"/>
    <x v="124"/>
    <x v="28"/>
    <x v="0"/>
    <n v="441.08"/>
    <n v="6"/>
    <n v="36.44"/>
    <n v="0.15"/>
  </r>
  <r>
    <x v="900"/>
    <x v="182"/>
    <x v="68"/>
    <x v="2"/>
    <n v="3334.81"/>
    <n v="1"/>
    <n v="257.31"/>
    <n v="0.05"/>
  </r>
  <r>
    <x v="901"/>
    <x v="334"/>
    <x v="3"/>
    <x v="2"/>
    <n v="831.16"/>
    <n v="10"/>
    <n v="174.03"/>
    <n v="0.15"/>
  </r>
  <r>
    <x v="902"/>
    <x v="181"/>
    <x v="37"/>
    <x v="2"/>
    <n v="1107.74"/>
    <n v="5"/>
    <n v="346.97"/>
    <n v="0.15"/>
  </r>
  <r>
    <x v="903"/>
    <x v="328"/>
    <x v="91"/>
    <x v="2"/>
    <n v="4914.6400000000003"/>
    <n v="1"/>
    <n v="753.31"/>
    <n v="0.2"/>
  </r>
  <r>
    <x v="904"/>
    <x v="106"/>
    <x v="36"/>
    <x v="1"/>
    <n v="2080.5700000000002"/>
    <n v="6"/>
    <n v="183.65"/>
    <n v="0.2"/>
  </r>
  <r>
    <x v="905"/>
    <x v="110"/>
    <x v="45"/>
    <x v="1"/>
    <n v="104.13"/>
    <n v="5"/>
    <n v="22.7"/>
    <n v="0"/>
  </r>
  <r>
    <x v="906"/>
    <x v="335"/>
    <x v="1"/>
    <x v="0"/>
    <n v="2215.41"/>
    <n v="7"/>
    <n v="503.01"/>
    <n v="0.15"/>
  </r>
  <r>
    <x v="907"/>
    <x v="145"/>
    <x v="44"/>
    <x v="0"/>
    <n v="2232.4299999999998"/>
    <n v="3"/>
    <n v="253.08"/>
    <n v="0.05"/>
  </r>
  <r>
    <x v="908"/>
    <x v="295"/>
    <x v="63"/>
    <x v="1"/>
    <n v="1984.52"/>
    <n v="5"/>
    <n v="649.62"/>
    <n v="0.05"/>
  </r>
  <r>
    <x v="909"/>
    <x v="336"/>
    <x v="80"/>
    <x v="2"/>
    <n v="156.85"/>
    <n v="8"/>
    <n v="38.35"/>
    <n v="0.15"/>
  </r>
  <r>
    <x v="910"/>
    <x v="121"/>
    <x v="80"/>
    <x v="0"/>
    <n v="514.85"/>
    <n v="10"/>
    <n v="124.94"/>
    <n v="0.15"/>
  </r>
  <r>
    <x v="911"/>
    <x v="81"/>
    <x v="25"/>
    <x v="0"/>
    <n v="981.01"/>
    <n v="7"/>
    <n v="198.97"/>
    <n v="0.1"/>
  </r>
  <r>
    <x v="912"/>
    <x v="186"/>
    <x v="56"/>
    <x v="0"/>
    <n v="1010.38"/>
    <n v="4"/>
    <n v="233.77"/>
    <n v="0.2"/>
  </r>
  <r>
    <x v="913"/>
    <x v="115"/>
    <x v="58"/>
    <x v="1"/>
    <n v="2113.11"/>
    <n v="1"/>
    <n v="451.89"/>
    <n v="0.2"/>
  </r>
  <r>
    <x v="914"/>
    <x v="116"/>
    <x v="62"/>
    <x v="2"/>
    <n v="3553.92"/>
    <n v="2"/>
    <n v="298.35000000000002"/>
    <n v="0.05"/>
  </r>
  <r>
    <x v="915"/>
    <x v="222"/>
    <x v="29"/>
    <x v="0"/>
    <n v="3683.34"/>
    <n v="9"/>
    <n v="1271.02"/>
    <n v="0"/>
  </r>
  <r>
    <x v="916"/>
    <x v="253"/>
    <x v="54"/>
    <x v="2"/>
    <n v="4460.59"/>
    <n v="2"/>
    <n v="341.39"/>
    <n v="0.2"/>
  </r>
  <r>
    <x v="917"/>
    <x v="309"/>
    <x v="23"/>
    <x v="2"/>
    <n v="1631.25"/>
    <n v="1"/>
    <n v="107.39"/>
    <n v="0.15"/>
  </r>
  <r>
    <x v="918"/>
    <x v="35"/>
    <x v="27"/>
    <x v="0"/>
    <n v="2612.0500000000002"/>
    <n v="6"/>
    <n v="498.3"/>
    <n v="0.1"/>
  </r>
  <r>
    <x v="919"/>
    <x v="124"/>
    <x v="97"/>
    <x v="2"/>
    <n v="920.79"/>
    <n v="5"/>
    <n v="238.04"/>
    <n v="0.2"/>
  </r>
  <r>
    <x v="920"/>
    <x v="39"/>
    <x v="9"/>
    <x v="2"/>
    <n v="400.95"/>
    <n v="1"/>
    <n v="76.959999999999994"/>
    <n v="0.1"/>
  </r>
  <r>
    <x v="921"/>
    <x v="305"/>
    <x v="88"/>
    <x v="1"/>
    <n v="3159.15"/>
    <n v="9"/>
    <n v="429.79"/>
    <n v="0"/>
  </r>
  <r>
    <x v="922"/>
    <x v="111"/>
    <x v="46"/>
    <x v="0"/>
    <n v="1335.05"/>
    <n v="1"/>
    <n v="313.39"/>
    <n v="0"/>
  </r>
  <r>
    <x v="923"/>
    <x v="48"/>
    <x v="78"/>
    <x v="2"/>
    <n v="955.61"/>
    <n v="8"/>
    <n v="217.43"/>
    <n v="0.1"/>
  </r>
  <r>
    <x v="924"/>
    <x v="337"/>
    <x v="52"/>
    <x v="1"/>
    <n v="1380.14"/>
    <n v="9"/>
    <n v="359.16"/>
    <n v="0"/>
  </r>
  <r>
    <x v="925"/>
    <x v="45"/>
    <x v="53"/>
    <x v="1"/>
    <n v="4921.95"/>
    <n v="8"/>
    <n v="1674.47"/>
    <n v="0.15"/>
  </r>
  <r>
    <x v="926"/>
    <x v="47"/>
    <x v="94"/>
    <x v="1"/>
    <n v="1977.52"/>
    <n v="4"/>
    <n v="490.82"/>
    <n v="0.2"/>
  </r>
  <r>
    <x v="927"/>
    <x v="117"/>
    <x v="29"/>
    <x v="1"/>
    <n v="4224.9799999999996"/>
    <n v="1"/>
    <n v="280.11"/>
    <n v="0.05"/>
  </r>
  <r>
    <x v="928"/>
    <x v="338"/>
    <x v="40"/>
    <x v="1"/>
    <n v="2053.85"/>
    <n v="7"/>
    <n v="288.38"/>
    <n v="0.15"/>
  </r>
  <r>
    <x v="929"/>
    <x v="279"/>
    <x v="2"/>
    <x v="1"/>
    <n v="1386.86"/>
    <n v="5"/>
    <n v="290.04000000000002"/>
    <n v="0.15"/>
  </r>
  <r>
    <x v="930"/>
    <x v="107"/>
    <x v="44"/>
    <x v="1"/>
    <n v="3424.62"/>
    <n v="2"/>
    <n v="1159.33"/>
    <n v="0.2"/>
  </r>
  <r>
    <x v="931"/>
    <x v="339"/>
    <x v="20"/>
    <x v="2"/>
    <n v="1833.76"/>
    <n v="5"/>
    <n v="556.13"/>
    <n v="0.1"/>
  </r>
  <r>
    <x v="932"/>
    <x v="103"/>
    <x v="58"/>
    <x v="2"/>
    <n v="1408.73"/>
    <n v="7"/>
    <n v="111.97"/>
    <n v="0.15"/>
  </r>
  <r>
    <x v="933"/>
    <x v="211"/>
    <x v="94"/>
    <x v="2"/>
    <n v="3408.93"/>
    <n v="4"/>
    <n v="417.73"/>
    <n v="0.2"/>
  </r>
  <r>
    <x v="934"/>
    <x v="340"/>
    <x v="53"/>
    <x v="2"/>
    <n v="3420.82"/>
    <n v="1"/>
    <n v="1190.32"/>
    <n v="0"/>
  </r>
  <r>
    <x v="935"/>
    <x v="341"/>
    <x v="72"/>
    <x v="2"/>
    <n v="158.61000000000001"/>
    <n v="8"/>
    <n v="12.58"/>
    <n v="0.1"/>
  </r>
  <r>
    <x v="936"/>
    <x v="274"/>
    <x v="56"/>
    <x v="1"/>
    <n v="3653.73"/>
    <n v="10"/>
    <n v="458.79"/>
    <n v="0"/>
  </r>
  <r>
    <x v="937"/>
    <x v="59"/>
    <x v="4"/>
    <x v="2"/>
    <n v="4698.68"/>
    <n v="2"/>
    <n v="1160.49"/>
    <n v="0"/>
  </r>
  <r>
    <x v="938"/>
    <x v="321"/>
    <x v="7"/>
    <x v="2"/>
    <n v="4296.5600000000004"/>
    <n v="10"/>
    <n v="382.27"/>
    <n v="0.05"/>
  </r>
  <r>
    <x v="939"/>
    <x v="3"/>
    <x v="85"/>
    <x v="2"/>
    <n v="3508.7"/>
    <n v="2"/>
    <n v="442.1"/>
    <n v="0.15"/>
  </r>
  <r>
    <x v="940"/>
    <x v="36"/>
    <x v="46"/>
    <x v="0"/>
    <n v="3869.86"/>
    <n v="5"/>
    <n v="997.13"/>
    <n v="0.05"/>
  </r>
  <r>
    <x v="941"/>
    <x v="307"/>
    <x v="92"/>
    <x v="0"/>
    <n v="462.59"/>
    <n v="6"/>
    <n v="130.97"/>
    <n v="0"/>
  </r>
  <r>
    <x v="942"/>
    <x v="113"/>
    <x v="9"/>
    <x v="1"/>
    <n v="4782.47"/>
    <n v="8"/>
    <n v="618.85"/>
    <n v="0.05"/>
  </r>
  <r>
    <x v="943"/>
    <x v="4"/>
    <x v="34"/>
    <x v="1"/>
    <n v="2023.91"/>
    <n v="9"/>
    <n v="493.12"/>
    <n v="0.15"/>
  </r>
  <r>
    <x v="944"/>
    <x v="108"/>
    <x v="8"/>
    <x v="2"/>
    <n v="3108.43"/>
    <n v="5"/>
    <n v="254.5"/>
    <n v="0"/>
  </r>
  <r>
    <x v="945"/>
    <x v="157"/>
    <x v="95"/>
    <x v="0"/>
    <n v="457.31"/>
    <n v="1"/>
    <n v="101.25"/>
    <n v="0.15"/>
  </r>
  <r>
    <x v="946"/>
    <x v="30"/>
    <x v="10"/>
    <x v="2"/>
    <n v="3299.04"/>
    <n v="7"/>
    <n v="165.81"/>
    <n v="0.1"/>
  </r>
  <r>
    <x v="947"/>
    <x v="311"/>
    <x v="10"/>
    <x v="1"/>
    <n v="3530.27"/>
    <n v="9"/>
    <n v="1134.58"/>
    <n v="0.15"/>
  </r>
  <r>
    <x v="948"/>
    <x v="97"/>
    <x v="62"/>
    <x v="2"/>
    <n v="2236.6799999999998"/>
    <n v="4"/>
    <n v="678.19"/>
    <n v="0"/>
  </r>
  <r>
    <x v="949"/>
    <x v="116"/>
    <x v="71"/>
    <x v="1"/>
    <n v="4775.3599999999997"/>
    <n v="10"/>
    <n v="1410.61"/>
    <n v="0.2"/>
  </r>
  <r>
    <x v="950"/>
    <x v="184"/>
    <x v="24"/>
    <x v="2"/>
    <n v="1733.85"/>
    <n v="2"/>
    <n v="244.21"/>
    <n v="0.1"/>
  </r>
  <r>
    <x v="951"/>
    <x v="64"/>
    <x v="5"/>
    <x v="0"/>
    <n v="4281.38"/>
    <n v="4"/>
    <n v="650.85"/>
    <n v="0.05"/>
  </r>
  <r>
    <x v="952"/>
    <x v="122"/>
    <x v="57"/>
    <x v="0"/>
    <n v="292.72000000000003"/>
    <n v="7"/>
    <n v="48.37"/>
    <n v="0"/>
  </r>
  <r>
    <x v="953"/>
    <x v="147"/>
    <x v="0"/>
    <x v="0"/>
    <n v="3475.33"/>
    <n v="4"/>
    <n v="680.99"/>
    <n v="0.05"/>
  </r>
  <r>
    <x v="954"/>
    <x v="248"/>
    <x v="95"/>
    <x v="1"/>
    <n v="1046.1500000000001"/>
    <n v="8"/>
    <n v="278.19"/>
    <n v="0.15"/>
  </r>
  <r>
    <x v="955"/>
    <x v="330"/>
    <x v="72"/>
    <x v="2"/>
    <n v="3984.42"/>
    <n v="8"/>
    <n v="968.3"/>
    <n v="0"/>
  </r>
  <r>
    <x v="956"/>
    <x v="26"/>
    <x v="95"/>
    <x v="0"/>
    <n v="1762.5"/>
    <n v="2"/>
    <n v="266.69"/>
    <n v="0.05"/>
  </r>
  <r>
    <x v="957"/>
    <x v="112"/>
    <x v="67"/>
    <x v="2"/>
    <n v="3369.85"/>
    <n v="3"/>
    <n v="631.88"/>
    <n v="0.2"/>
  </r>
  <r>
    <x v="958"/>
    <x v="85"/>
    <x v="70"/>
    <x v="0"/>
    <n v="4631.6000000000004"/>
    <n v="1"/>
    <n v="282.82"/>
    <n v="0.15"/>
  </r>
  <r>
    <x v="959"/>
    <x v="285"/>
    <x v="25"/>
    <x v="1"/>
    <n v="324.43"/>
    <n v="3"/>
    <n v="84.48"/>
    <n v="0"/>
  </r>
  <r>
    <x v="960"/>
    <x v="339"/>
    <x v="65"/>
    <x v="1"/>
    <n v="4121.62"/>
    <n v="10"/>
    <n v="326.38"/>
    <n v="0"/>
  </r>
  <r>
    <x v="961"/>
    <x v="250"/>
    <x v="51"/>
    <x v="1"/>
    <n v="659.48"/>
    <n v="2"/>
    <n v="150.69"/>
    <n v="0.05"/>
  </r>
  <r>
    <x v="962"/>
    <x v="112"/>
    <x v="84"/>
    <x v="0"/>
    <n v="1752.98"/>
    <n v="6"/>
    <n v="527.24"/>
    <n v="0"/>
  </r>
  <r>
    <x v="963"/>
    <x v="17"/>
    <x v="19"/>
    <x v="1"/>
    <n v="2922.24"/>
    <n v="10"/>
    <n v="266.5"/>
    <n v="0.05"/>
  </r>
  <r>
    <x v="964"/>
    <x v="121"/>
    <x v="93"/>
    <x v="1"/>
    <n v="409.79"/>
    <n v="6"/>
    <n v="54.16"/>
    <n v="0.2"/>
  </r>
  <r>
    <x v="965"/>
    <x v="90"/>
    <x v="49"/>
    <x v="1"/>
    <n v="2249.44"/>
    <n v="2"/>
    <n v="737.15"/>
    <n v="0.2"/>
  </r>
  <r>
    <x v="966"/>
    <x v="105"/>
    <x v="44"/>
    <x v="1"/>
    <n v="3910.54"/>
    <n v="1"/>
    <n v="213.86"/>
    <n v="0"/>
  </r>
  <r>
    <x v="967"/>
    <x v="248"/>
    <x v="52"/>
    <x v="0"/>
    <n v="4638.07"/>
    <n v="7"/>
    <n v="1215.28"/>
    <n v="0.15"/>
  </r>
  <r>
    <x v="968"/>
    <x v="65"/>
    <x v="55"/>
    <x v="2"/>
    <n v="721.77"/>
    <n v="8"/>
    <n v="67.069999999999993"/>
    <n v="0.15"/>
  </r>
  <r>
    <x v="969"/>
    <x v="30"/>
    <x v="1"/>
    <x v="2"/>
    <n v="4696.6400000000003"/>
    <n v="3"/>
    <n v="1095.08"/>
    <n v="0.15"/>
  </r>
  <r>
    <x v="970"/>
    <x v="245"/>
    <x v="34"/>
    <x v="0"/>
    <n v="4756.46"/>
    <n v="7"/>
    <n v="1132.79"/>
    <n v="0"/>
  </r>
  <r>
    <x v="971"/>
    <x v="214"/>
    <x v="63"/>
    <x v="1"/>
    <n v="1254.6300000000001"/>
    <n v="10"/>
    <n v="106.96"/>
    <n v="0.1"/>
  </r>
  <r>
    <x v="972"/>
    <x v="67"/>
    <x v="59"/>
    <x v="2"/>
    <n v="4935.2299999999996"/>
    <n v="4"/>
    <n v="998.21"/>
    <n v="0.1"/>
  </r>
  <r>
    <x v="973"/>
    <x v="154"/>
    <x v="45"/>
    <x v="0"/>
    <n v="1049.22"/>
    <n v="8"/>
    <n v="303.20999999999998"/>
    <n v="0.05"/>
  </r>
  <r>
    <x v="974"/>
    <x v="176"/>
    <x v="21"/>
    <x v="0"/>
    <n v="3383.7"/>
    <n v="5"/>
    <n v="212.95"/>
    <n v="0.05"/>
  </r>
  <r>
    <x v="975"/>
    <x v="55"/>
    <x v="35"/>
    <x v="1"/>
    <n v="1331.77"/>
    <n v="2"/>
    <n v="313.02999999999997"/>
    <n v="0"/>
  </r>
  <r>
    <x v="976"/>
    <x v="337"/>
    <x v="5"/>
    <x v="2"/>
    <n v="961.85"/>
    <n v="2"/>
    <n v="274.75"/>
    <n v="0"/>
  </r>
  <r>
    <x v="977"/>
    <x v="342"/>
    <x v="1"/>
    <x v="0"/>
    <n v="3634.88"/>
    <n v="4"/>
    <n v="828.07"/>
    <n v="0.1"/>
  </r>
  <r>
    <x v="978"/>
    <x v="6"/>
    <x v="70"/>
    <x v="1"/>
    <n v="3916.98"/>
    <n v="7"/>
    <n v="579.09"/>
    <n v="0.05"/>
  </r>
  <r>
    <x v="979"/>
    <x v="49"/>
    <x v="44"/>
    <x v="0"/>
    <n v="4467.6899999999996"/>
    <n v="1"/>
    <n v="321.94"/>
    <n v="0.15"/>
  </r>
  <r>
    <x v="980"/>
    <x v="322"/>
    <x v="74"/>
    <x v="0"/>
    <n v="1159.21"/>
    <n v="6"/>
    <n v="269.89999999999998"/>
    <n v="0.05"/>
  </r>
  <r>
    <x v="981"/>
    <x v="65"/>
    <x v="27"/>
    <x v="1"/>
    <n v="3627.12"/>
    <n v="6"/>
    <n v="869.08"/>
    <n v="0.05"/>
  </r>
  <r>
    <x v="982"/>
    <x v="318"/>
    <x v="95"/>
    <x v="1"/>
    <n v="3491.83"/>
    <n v="8"/>
    <n v="237.08"/>
    <n v="0.15"/>
  </r>
  <r>
    <x v="983"/>
    <x v="205"/>
    <x v="38"/>
    <x v="2"/>
    <n v="938.89"/>
    <n v="3"/>
    <n v="143.72"/>
    <n v="0.2"/>
  </r>
  <r>
    <x v="984"/>
    <x v="343"/>
    <x v="49"/>
    <x v="1"/>
    <n v="2932.8"/>
    <n v="7"/>
    <n v="632.98"/>
    <n v="0.2"/>
  </r>
  <r>
    <x v="985"/>
    <x v="194"/>
    <x v="83"/>
    <x v="0"/>
    <n v="4324.78"/>
    <n v="5"/>
    <n v="497.06"/>
    <n v="0"/>
  </r>
  <r>
    <x v="986"/>
    <x v="344"/>
    <x v="29"/>
    <x v="0"/>
    <n v="2197.7399999999998"/>
    <n v="7"/>
    <n v="685.21"/>
    <n v="0.2"/>
  </r>
  <r>
    <x v="987"/>
    <x v="25"/>
    <x v="56"/>
    <x v="2"/>
    <n v="4469.93"/>
    <n v="1"/>
    <n v="1017.05"/>
    <n v="0.15"/>
  </r>
  <r>
    <x v="988"/>
    <x v="191"/>
    <x v="13"/>
    <x v="1"/>
    <n v="296.29000000000002"/>
    <n v="7"/>
    <n v="56.65"/>
    <n v="0.2"/>
  </r>
  <r>
    <x v="989"/>
    <x v="6"/>
    <x v="90"/>
    <x v="0"/>
    <n v="2448.42"/>
    <n v="8"/>
    <n v="708.59"/>
    <n v="0.05"/>
  </r>
  <r>
    <x v="990"/>
    <x v="2"/>
    <x v="75"/>
    <x v="1"/>
    <n v="2836.59"/>
    <n v="3"/>
    <n v="152.4"/>
    <n v="0.1"/>
  </r>
  <r>
    <x v="991"/>
    <x v="166"/>
    <x v="97"/>
    <x v="0"/>
    <n v="1271.4100000000001"/>
    <n v="5"/>
    <n v="444.59"/>
    <n v="0.05"/>
  </r>
  <r>
    <x v="992"/>
    <x v="14"/>
    <x v="43"/>
    <x v="1"/>
    <n v="2350.4899999999998"/>
    <n v="8"/>
    <n v="519.73"/>
    <n v="0.15"/>
  </r>
  <r>
    <x v="993"/>
    <x v="320"/>
    <x v="94"/>
    <x v="0"/>
    <n v="779.26"/>
    <n v="8"/>
    <n v="203.34"/>
    <n v="0"/>
  </r>
  <r>
    <x v="994"/>
    <x v="98"/>
    <x v="0"/>
    <x v="2"/>
    <n v="446.42"/>
    <n v="1"/>
    <n v="141.97999999999999"/>
    <n v="0.1"/>
  </r>
  <r>
    <x v="995"/>
    <x v="195"/>
    <x v="84"/>
    <x v="2"/>
    <n v="3789.15"/>
    <n v="10"/>
    <n v="982.97"/>
    <n v="0.05"/>
  </r>
  <r>
    <x v="996"/>
    <x v="184"/>
    <x v="19"/>
    <x v="2"/>
    <n v="496.7"/>
    <n v="6"/>
    <n v="156.09"/>
    <n v="0"/>
  </r>
  <r>
    <x v="997"/>
    <x v="90"/>
    <x v="85"/>
    <x v="0"/>
    <n v="1976.48"/>
    <n v="6"/>
    <n v="374.75"/>
    <n v="0.05"/>
  </r>
  <r>
    <x v="998"/>
    <x v="185"/>
    <x v="68"/>
    <x v="1"/>
    <n v="2838.07"/>
    <n v="3"/>
    <n v="198.95"/>
    <n v="0.1"/>
  </r>
  <r>
    <x v="999"/>
    <x v="167"/>
    <x v="1"/>
    <x v="2"/>
    <n v="2744.21"/>
    <n v="4"/>
    <n v="671.54"/>
    <n v="0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0001"/>
    <s v="2024-01-17"/>
    <s v="C081"/>
    <x v="0"/>
    <n v="388.48"/>
    <n v="2"/>
    <n v="27.28"/>
    <n v="0.2"/>
    <x v="0"/>
    <x v="0"/>
  </r>
  <r>
    <s v="O0002"/>
    <s v="2024-10-03"/>
    <s v="C031"/>
    <x v="1"/>
    <n v="1464.54"/>
    <n v="10"/>
    <n v="286.5"/>
    <n v="0.2"/>
    <x v="0"/>
    <x v="1"/>
  </r>
  <r>
    <s v="O0003"/>
    <s v="2024-07-27"/>
    <s v="C061"/>
    <x v="1"/>
    <n v="1290.69"/>
    <n v="2"/>
    <n v="247.67"/>
    <n v="0"/>
    <x v="1"/>
    <x v="2"/>
  </r>
  <r>
    <s v="O0004"/>
    <s v="2024-08-27"/>
    <s v="C085"/>
    <x v="2"/>
    <n v="2212.15"/>
    <n v="1"/>
    <n v="391.71"/>
    <n v="0"/>
    <x v="0"/>
    <x v="0"/>
  </r>
  <r>
    <s v="O0005"/>
    <s v="2024-02-25"/>
    <s v="C008"/>
    <x v="1"/>
    <n v="2072.84"/>
    <n v="4"/>
    <n v="314.64"/>
    <n v="0.05"/>
    <x v="2"/>
    <x v="0"/>
  </r>
  <r>
    <s v="O0006"/>
    <s v="2024-05-22"/>
    <s v="C069"/>
    <x v="0"/>
    <n v="2298.21"/>
    <n v="4"/>
    <n v="405.78"/>
    <n v="0"/>
    <x v="3"/>
    <x v="0"/>
  </r>
  <r>
    <s v="O0007"/>
    <s v="2024-02-20"/>
    <s v="C057"/>
    <x v="1"/>
    <n v="4059.31"/>
    <n v="9"/>
    <n v="1245.3599999999999"/>
    <n v="0"/>
    <x v="1"/>
    <x v="0"/>
  </r>
  <r>
    <s v="O0008"/>
    <s v="2024-03-26"/>
    <s v="C012"/>
    <x v="0"/>
    <n v="4639.2"/>
    <n v="8"/>
    <n v="1413.14"/>
    <n v="0.15"/>
    <x v="1"/>
    <x v="2"/>
  </r>
  <r>
    <s v="O0009"/>
    <s v="2024-03-25"/>
    <s v="C028"/>
    <x v="0"/>
    <n v="4336.79"/>
    <n v="1"/>
    <n v="1390.95"/>
    <n v="0.15"/>
    <x v="0"/>
    <x v="0"/>
  </r>
  <r>
    <s v="O0010"/>
    <s v="2024-05-26"/>
    <s v="C034"/>
    <x v="0"/>
    <n v="4639.9399999999996"/>
    <n v="9"/>
    <n v="1324.88"/>
    <n v="0.15"/>
    <x v="3"/>
    <x v="1"/>
  </r>
  <r>
    <s v="O0011"/>
    <s v="2024-01-30"/>
    <s v="C020"/>
    <x v="2"/>
    <n v="1030.5"/>
    <n v="9"/>
    <n v="118.83"/>
    <n v="0"/>
    <x v="3"/>
    <x v="1"/>
  </r>
  <r>
    <s v="O0012"/>
    <s v="2024-09-01"/>
    <s v="C096"/>
    <x v="2"/>
    <n v="1636.66"/>
    <n v="9"/>
    <n v="106.45"/>
    <n v="0.05"/>
    <x v="0"/>
    <x v="1"/>
  </r>
  <r>
    <s v="O0013"/>
    <s v="2024-04-05"/>
    <s v="C008"/>
    <x v="1"/>
    <n v="4807.82"/>
    <n v="10"/>
    <n v="355.94"/>
    <n v="0"/>
    <x v="2"/>
    <x v="0"/>
  </r>
  <r>
    <s v="O0014"/>
    <s v="2024-10-18"/>
    <s v="C087"/>
    <x v="1"/>
    <n v="4322.91"/>
    <n v="10"/>
    <n v="739.79"/>
    <n v="0.2"/>
    <x v="2"/>
    <x v="0"/>
  </r>
  <r>
    <s v="O0015"/>
    <s v="2024-10-25"/>
    <s v="C006"/>
    <x v="2"/>
    <n v="3134.97"/>
    <n v="9"/>
    <n v="551.03"/>
    <n v="0.1"/>
    <x v="1"/>
    <x v="0"/>
  </r>
  <r>
    <s v="O0016"/>
    <s v="2024-05-02"/>
    <s v="C034"/>
    <x v="0"/>
    <n v="1100.8699999999999"/>
    <n v="7"/>
    <n v="291.57"/>
    <n v="0.05"/>
    <x v="3"/>
    <x v="1"/>
  </r>
  <r>
    <s v="O0017"/>
    <s v="2024-02-07"/>
    <s v="C086"/>
    <x v="1"/>
    <n v="3262.95"/>
    <n v="8"/>
    <n v="610.72"/>
    <n v="0.2"/>
    <x v="1"/>
    <x v="0"/>
  </r>
  <r>
    <s v="O0018"/>
    <s v="2024-04-19"/>
    <s v="C073"/>
    <x v="2"/>
    <n v="4980.87"/>
    <n v="5"/>
    <n v="358.51"/>
    <n v="0.05"/>
    <x v="3"/>
    <x v="2"/>
  </r>
  <r>
    <s v="O0019"/>
    <s v="2024-07-08"/>
    <s v="C045"/>
    <x v="0"/>
    <n v="4416.2299999999996"/>
    <n v="3"/>
    <n v="1385.73"/>
    <n v="0.15"/>
    <x v="3"/>
    <x v="1"/>
  </r>
  <r>
    <s v="O0020"/>
    <s v="2024-11-30"/>
    <s v="C070"/>
    <x v="2"/>
    <n v="3547.35"/>
    <n v="1"/>
    <n v="828.32"/>
    <n v="0.2"/>
    <x v="3"/>
    <x v="1"/>
  </r>
  <r>
    <s v="O0021"/>
    <s v="2024-03-09"/>
    <s v="C039"/>
    <x v="0"/>
    <n v="4665.6000000000004"/>
    <n v="2"/>
    <n v="378.27"/>
    <n v="0"/>
    <x v="2"/>
    <x v="0"/>
  </r>
  <r>
    <s v="O0022"/>
    <s v="2024-11-05"/>
    <s v="C096"/>
    <x v="1"/>
    <n v="2810.8"/>
    <n v="6"/>
    <n v="370.19"/>
    <n v="0.05"/>
    <x v="0"/>
    <x v="1"/>
  </r>
  <r>
    <s v="O0023"/>
    <s v="2024-09-07"/>
    <s v="C088"/>
    <x v="0"/>
    <n v="3207.77"/>
    <n v="1"/>
    <n v="414.43"/>
    <n v="0"/>
    <x v="1"/>
    <x v="2"/>
  </r>
  <r>
    <s v="O0024"/>
    <s v="2024-01-02"/>
    <s v="C082"/>
    <x v="0"/>
    <n v="2175.52"/>
    <n v="3"/>
    <n v="289.35000000000002"/>
    <n v="0.1"/>
    <x v="3"/>
    <x v="1"/>
  </r>
  <r>
    <s v="O0025"/>
    <s v="2024-08-06"/>
    <s v="C021"/>
    <x v="2"/>
    <n v="3732.03"/>
    <n v="1"/>
    <n v="804.27"/>
    <n v="0"/>
    <x v="3"/>
    <x v="0"/>
  </r>
  <r>
    <s v="O0026"/>
    <s v="2024-03-17"/>
    <s v="C010"/>
    <x v="2"/>
    <n v="4730.75"/>
    <n v="1"/>
    <n v="1217.25"/>
    <n v="0.1"/>
    <x v="2"/>
    <x v="2"/>
  </r>
  <r>
    <s v="O0027"/>
    <s v="2024-01-22"/>
    <s v="C075"/>
    <x v="0"/>
    <n v="2807.37"/>
    <n v="6"/>
    <n v="502.34"/>
    <n v="0"/>
    <x v="0"/>
    <x v="2"/>
  </r>
  <r>
    <s v="O0028"/>
    <s v="2024-02-22"/>
    <s v="C046"/>
    <x v="0"/>
    <n v="1129.3800000000001"/>
    <n v="9"/>
    <n v="141.01"/>
    <n v="0.15"/>
    <x v="3"/>
    <x v="0"/>
  </r>
  <r>
    <s v="O0029"/>
    <s v="2024-05-01"/>
    <s v="C080"/>
    <x v="1"/>
    <n v="3772.44"/>
    <n v="3"/>
    <n v="1236.3399999999999"/>
    <n v="0.15"/>
    <x v="3"/>
    <x v="1"/>
  </r>
  <r>
    <s v="O0030"/>
    <s v="2024-07-29"/>
    <s v="C004"/>
    <x v="2"/>
    <n v="978.87"/>
    <n v="4"/>
    <n v="320.43"/>
    <n v="0.1"/>
    <x v="0"/>
    <x v="2"/>
  </r>
  <r>
    <s v="O0031"/>
    <s v="2024-01-20"/>
    <s v="C021"/>
    <x v="0"/>
    <n v="3958.14"/>
    <n v="4"/>
    <n v="326.26"/>
    <n v="0.05"/>
    <x v="3"/>
    <x v="0"/>
  </r>
  <r>
    <s v="O0032"/>
    <s v="2024-04-26"/>
    <s v="C059"/>
    <x v="1"/>
    <n v="1813.33"/>
    <n v="1"/>
    <n v="537.04"/>
    <n v="0.05"/>
    <x v="2"/>
    <x v="2"/>
  </r>
  <r>
    <s v="O0033"/>
    <s v="2024-05-22"/>
    <s v="C052"/>
    <x v="0"/>
    <n v="1708.48"/>
    <n v="9"/>
    <n v="528.44000000000005"/>
    <n v="0.15"/>
    <x v="2"/>
    <x v="2"/>
  </r>
  <r>
    <s v="O0034"/>
    <s v="2024-01-15"/>
    <s v="C087"/>
    <x v="1"/>
    <n v="4907.63"/>
    <n v="5"/>
    <n v="1034.8499999999999"/>
    <n v="0.05"/>
    <x v="2"/>
    <x v="0"/>
  </r>
  <r>
    <s v="O0035"/>
    <s v="2024-02-25"/>
    <s v="C075"/>
    <x v="2"/>
    <n v="4816.42"/>
    <n v="7"/>
    <n v="624.4"/>
    <n v="0.1"/>
    <x v="0"/>
    <x v="2"/>
  </r>
  <r>
    <s v="O0036"/>
    <s v="2024-09-18"/>
    <s v="C094"/>
    <x v="1"/>
    <n v="3953.5"/>
    <n v="7"/>
    <n v="715.26"/>
    <n v="0.2"/>
    <x v="1"/>
    <x v="0"/>
  </r>
  <r>
    <s v="O0037"/>
    <s v="2024-01-01"/>
    <s v="C025"/>
    <x v="2"/>
    <n v="1348.14"/>
    <n v="9"/>
    <n v="354.07"/>
    <n v="0.05"/>
    <x v="3"/>
    <x v="2"/>
  </r>
  <r>
    <s v="O0038"/>
    <s v="2024-06-18"/>
    <s v="C047"/>
    <x v="2"/>
    <n v="2213.36"/>
    <n v="6"/>
    <n v="740.73"/>
    <n v="0"/>
    <x v="2"/>
    <x v="2"/>
  </r>
  <r>
    <s v="O0039"/>
    <s v="2024-12-07"/>
    <s v="C093"/>
    <x v="0"/>
    <n v="4510.2299999999996"/>
    <n v="6"/>
    <n v="911.68"/>
    <n v="0.15"/>
    <x v="3"/>
    <x v="1"/>
  </r>
  <r>
    <s v="O0040"/>
    <s v="2024-08-03"/>
    <s v="C090"/>
    <x v="2"/>
    <n v="1548.71"/>
    <n v="7"/>
    <n v="136.58000000000001"/>
    <n v="0.05"/>
    <x v="1"/>
    <x v="0"/>
  </r>
  <r>
    <s v="O0041"/>
    <s v="2024-01-01"/>
    <s v="C079"/>
    <x v="0"/>
    <n v="2888.62"/>
    <n v="5"/>
    <n v="496.33"/>
    <n v="0.05"/>
    <x v="0"/>
    <x v="2"/>
  </r>
  <r>
    <s v="O0042"/>
    <s v="2024-06-13"/>
    <s v="C056"/>
    <x v="0"/>
    <n v="3950.22"/>
    <n v="8"/>
    <n v="916.45"/>
    <n v="0.15"/>
    <x v="2"/>
    <x v="0"/>
  </r>
  <r>
    <s v="O0043"/>
    <s v="2024-03-27"/>
    <s v="C087"/>
    <x v="2"/>
    <n v="1147.1400000000001"/>
    <n v="2"/>
    <n v="220.2"/>
    <n v="0.1"/>
    <x v="2"/>
    <x v="0"/>
  </r>
  <r>
    <s v="O0044"/>
    <s v="2024-02-17"/>
    <s v="C066"/>
    <x v="1"/>
    <n v="3352.88"/>
    <n v="5"/>
    <n v="790.54"/>
    <n v="0.05"/>
    <x v="0"/>
    <x v="2"/>
  </r>
  <r>
    <s v="O0045"/>
    <s v="2024-08-31"/>
    <s v="C026"/>
    <x v="2"/>
    <n v="822.03"/>
    <n v="2"/>
    <n v="52.5"/>
    <n v="0.15"/>
    <x v="3"/>
    <x v="2"/>
  </r>
  <r>
    <s v="O0046"/>
    <s v="2024-12-22"/>
    <s v="C054"/>
    <x v="0"/>
    <n v="4442.07"/>
    <n v="8"/>
    <n v="989.25"/>
    <n v="0.15"/>
    <x v="1"/>
    <x v="2"/>
  </r>
  <r>
    <s v="O0047"/>
    <s v="2024-02-24"/>
    <s v="C032"/>
    <x v="0"/>
    <n v="823.1"/>
    <n v="4"/>
    <n v="210.95"/>
    <n v="0.05"/>
    <x v="3"/>
    <x v="1"/>
  </r>
  <r>
    <s v="O0048"/>
    <s v="2024-05-07"/>
    <s v="C090"/>
    <x v="1"/>
    <n v="2637.99"/>
    <n v="8"/>
    <n v="171.64"/>
    <n v="0.05"/>
    <x v="1"/>
    <x v="0"/>
  </r>
  <r>
    <s v="O0049"/>
    <s v="2024-10-31"/>
    <s v="C060"/>
    <x v="0"/>
    <n v="3371.13"/>
    <n v="8"/>
    <n v="1167.6500000000001"/>
    <n v="0.2"/>
    <x v="2"/>
    <x v="2"/>
  </r>
  <r>
    <s v="O0050"/>
    <s v="2024-10-07"/>
    <s v="C093"/>
    <x v="0"/>
    <n v="4470.8999999999996"/>
    <n v="3"/>
    <n v="795.92"/>
    <n v="0.15"/>
    <x v="3"/>
    <x v="1"/>
  </r>
  <r>
    <s v="O0051"/>
    <s v="2024-11-22"/>
    <s v="C058"/>
    <x v="0"/>
    <n v="1370.04"/>
    <n v="9"/>
    <n v="170.12"/>
    <n v="0.15"/>
    <x v="0"/>
    <x v="0"/>
  </r>
  <r>
    <s v="O0052"/>
    <s v="2024-05-26"/>
    <s v="C081"/>
    <x v="1"/>
    <n v="1272.3"/>
    <n v="5"/>
    <n v="231.51"/>
    <n v="0.1"/>
    <x v="0"/>
    <x v="0"/>
  </r>
  <r>
    <s v="O0053"/>
    <s v="2024-03-18"/>
    <s v="C041"/>
    <x v="1"/>
    <n v="4475.83"/>
    <n v="7"/>
    <n v="331.99"/>
    <n v="0.05"/>
    <x v="3"/>
    <x v="2"/>
  </r>
  <r>
    <s v="O0054"/>
    <s v="2024-06-18"/>
    <s v="C091"/>
    <x v="2"/>
    <n v="1148.3699999999999"/>
    <n v="8"/>
    <n v="200.35"/>
    <n v="0.15"/>
    <x v="2"/>
    <x v="2"/>
  </r>
  <r>
    <s v="O0055"/>
    <s v="2024-10-26"/>
    <s v="C008"/>
    <x v="2"/>
    <n v="1113.49"/>
    <n v="1"/>
    <n v="196.02"/>
    <n v="0.2"/>
    <x v="2"/>
    <x v="0"/>
  </r>
  <r>
    <s v="O0056"/>
    <s v="2024-06-01"/>
    <s v="C049"/>
    <x v="0"/>
    <n v="2437.1999999999998"/>
    <n v="7"/>
    <n v="811.15"/>
    <n v="0.2"/>
    <x v="1"/>
    <x v="1"/>
  </r>
  <r>
    <s v="O0057"/>
    <s v="2024-04-22"/>
    <s v="C096"/>
    <x v="0"/>
    <n v="3699.71"/>
    <n v="4"/>
    <n v="1072.77"/>
    <n v="0.1"/>
    <x v="0"/>
    <x v="1"/>
  </r>
  <r>
    <s v="O0058"/>
    <s v="2024-12-08"/>
    <s v="C056"/>
    <x v="2"/>
    <n v="2479.65"/>
    <n v="7"/>
    <n v="413.25"/>
    <n v="0.05"/>
    <x v="2"/>
    <x v="0"/>
  </r>
  <r>
    <s v="O0059"/>
    <s v="2024-09-30"/>
    <s v="C060"/>
    <x v="1"/>
    <n v="4605.75"/>
    <n v="7"/>
    <n v="1585.38"/>
    <n v="0.2"/>
    <x v="2"/>
    <x v="2"/>
  </r>
  <r>
    <s v="O0060"/>
    <s v="2024-08-07"/>
    <s v="C073"/>
    <x v="1"/>
    <n v="3348.7"/>
    <n v="8"/>
    <n v="251.77"/>
    <n v="0.05"/>
    <x v="3"/>
    <x v="2"/>
  </r>
  <r>
    <s v="O0061"/>
    <s v="2024-08-20"/>
    <s v="C007"/>
    <x v="0"/>
    <n v="1374.77"/>
    <n v="6"/>
    <n v="203.75"/>
    <n v="0.15"/>
    <x v="0"/>
    <x v="0"/>
  </r>
  <r>
    <s v="O0062"/>
    <s v="2024-05-09"/>
    <s v="C036"/>
    <x v="1"/>
    <n v="3784.85"/>
    <n v="8"/>
    <n v="1133.8599999999999"/>
    <n v="0"/>
    <x v="3"/>
    <x v="2"/>
  </r>
  <r>
    <s v="O0063"/>
    <s v="2024-06-28"/>
    <s v="C096"/>
    <x v="1"/>
    <n v="2743.15"/>
    <n v="2"/>
    <n v="960.03"/>
    <n v="0"/>
    <x v="0"/>
    <x v="1"/>
  </r>
  <r>
    <s v="O0064"/>
    <s v="2024-01-11"/>
    <s v="C097"/>
    <x v="2"/>
    <n v="252.05"/>
    <n v="3"/>
    <n v="31.3"/>
    <n v="0.05"/>
    <x v="0"/>
    <x v="2"/>
  </r>
  <r>
    <s v="O0065"/>
    <s v="2024-04-21"/>
    <s v="C017"/>
    <x v="0"/>
    <n v="2420.4499999999998"/>
    <n v="5"/>
    <n v="204.08"/>
    <n v="0.1"/>
    <x v="2"/>
    <x v="1"/>
  </r>
  <r>
    <s v="O0066"/>
    <s v="2024-02-28"/>
    <s v="C022"/>
    <x v="1"/>
    <n v="3068.87"/>
    <n v="5"/>
    <n v="1040.72"/>
    <n v="0"/>
    <x v="1"/>
    <x v="2"/>
  </r>
  <r>
    <s v="O0067"/>
    <s v="2024-12-12"/>
    <s v="C075"/>
    <x v="0"/>
    <n v="225.82"/>
    <n v="7"/>
    <n v="32.42"/>
    <n v="0.05"/>
    <x v="0"/>
    <x v="2"/>
  </r>
  <r>
    <s v="O0068"/>
    <s v="2024-05-04"/>
    <s v="C010"/>
    <x v="1"/>
    <n v="3001.28"/>
    <n v="5"/>
    <n v="897.9"/>
    <n v="0.2"/>
    <x v="2"/>
    <x v="2"/>
  </r>
  <r>
    <s v="O0069"/>
    <s v="2024-01-22"/>
    <s v="C016"/>
    <x v="0"/>
    <n v="4001.51"/>
    <n v="9"/>
    <n v="879.45"/>
    <n v="0.15"/>
    <x v="3"/>
    <x v="0"/>
  </r>
  <r>
    <s v="O0070"/>
    <s v="2024-06-23"/>
    <s v="C085"/>
    <x v="1"/>
    <n v="1915.8"/>
    <n v="7"/>
    <n v="386.59"/>
    <n v="0.15"/>
    <x v="0"/>
    <x v="0"/>
  </r>
  <r>
    <s v="O0071"/>
    <s v="2024-08-23"/>
    <s v="C014"/>
    <x v="2"/>
    <n v="2224.2600000000002"/>
    <n v="3"/>
    <n v="352.89"/>
    <n v="0.15"/>
    <x v="2"/>
    <x v="2"/>
  </r>
  <r>
    <s v="O0072"/>
    <s v="2024-05-18"/>
    <s v="C023"/>
    <x v="2"/>
    <n v="3695.6"/>
    <n v="9"/>
    <n v="1255.18"/>
    <n v="0.15"/>
    <x v="0"/>
    <x v="1"/>
  </r>
  <r>
    <s v="O0073"/>
    <s v="2024-05-17"/>
    <s v="C060"/>
    <x v="0"/>
    <n v="2234.3200000000002"/>
    <n v="4"/>
    <n v="601.72"/>
    <n v="0"/>
    <x v="2"/>
    <x v="2"/>
  </r>
  <r>
    <s v="O0074"/>
    <s v="2024-08-25"/>
    <s v="C036"/>
    <x v="2"/>
    <n v="4419.99"/>
    <n v="10"/>
    <n v="544.36"/>
    <n v="0.15"/>
    <x v="3"/>
    <x v="2"/>
  </r>
  <r>
    <s v="O0075"/>
    <s v="2024-04-03"/>
    <s v="C044"/>
    <x v="0"/>
    <n v="240.63"/>
    <n v="4"/>
    <n v="73.459999999999994"/>
    <n v="0.1"/>
    <x v="2"/>
    <x v="0"/>
  </r>
  <r>
    <s v="O0076"/>
    <s v="2024-12-25"/>
    <s v="C034"/>
    <x v="0"/>
    <n v="1767.66"/>
    <n v="9"/>
    <n v="555.21"/>
    <n v="0"/>
    <x v="3"/>
    <x v="1"/>
  </r>
  <r>
    <s v="O0077"/>
    <s v="2024-07-27"/>
    <s v="C067"/>
    <x v="0"/>
    <n v="4745.51"/>
    <n v="9"/>
    <n v="359.16"/>
    <n v="0.05"/>
    <x v="0"/>
    <x v="2"/>
  </r>
  <r>
    <s v="O0078"/>
    <s v="2024-08-17"/>
    <s v="C089"/>
    <x v="1"/>
    <n v="2432.86"/>
    <n v="2"/>
    <n v="641.19000000000005"/>
    <n v="0.1"/>
    <x v="2"/>
    <x v="1"/>
  </r>
  <r>
    <s v="O0079"/>
    <s v="2024-12-05"/>
    <s v="C029"/>
    <x v="2"/>
    <n v="2081.5700000000002"/>
    <n v="6"/>
    <n v="256.02"/>
    <n v="0.15"/>
    <x v="2"/>
    <x v="1"/>
  </r>
  <r>
    <s v="O0080"/>
    <s v="2024-10-08"/>
    <s v="C071"/>
    <x v="0"/>
    <n v="2701.52"/>
    <n v="6"/>
    <n v="479.93"/>
    <n v="0.15"/>
    <x v="2"/>
    <x v="1"/>
  </r>
  <r>
    <s v="O0081"/>
    <s v="2024-04-08"/>
    <s v="C035"/>
    <x v="0"/>
    <n v="1602.45"/>
    <n v="2"/>
    <n v="190.95"/>
    <n v="0.2"/>
    <x v="2"/>
    <x v="2"/>
  </r>
  <r>
    <s v="O0082"/>
    <s v="2024-09-04"/>
    <s v="C098"/>
    <x v="0"/>
    <n v="3481.8"/>
    <n v="10"/>
    <n v="374.16"/>
    <n v="0.2"/>
    <x v="2"/>
    <x v="2"/>
  </r>
  <r>
    <s v="O0083"/>
    <s v="2024-04-09"/>
    <s v="C077"/>
    <x v="0"/>
    <n v="1486.69"/>
    <n v="4"/>
    <n v="119.17"/>
    <n v="0.1"/>
    <x v="2"/>
    <x v="0"/>
  </r>
  <r>
    <s v="O0084"/>
    <s v="2024-03-05"/>
    <s v="C023"/>
    <x v="0"/>
    <n v="1581.11"/>
    <n v="1"/>
    <n v="414.89"/>
    <n v="0"/>
    <x v="0"/>
    <x v="1"/>
  </r>
  <r>
    <s v="O0085"/>
    <s v="2024-11-22"/>
    <s v="C071"/>
    <x v="0"/>
    <n v="1531.47"/>
    <n v="2"/>
    <n v="510.33"/>
    <n v="0"/>
    <x v="2"/>
    <x v="1"/>
  </r>
  <r>
    <s v="O0086"/>
    <s v="2024-06-23"/>
    <s v="C074"/>
    <x v="1"/>
    <n v="1493.26"/>
    <n v="1"/>
    <n v="289.12"/>
    <n v="0.1"/>
    <x v="2"/>
    <x v="2"/>
  </r>
  <r>
    <s v="O0087"/>
    <s v="2024-09-08"/>
    <s v="C062"/>
    <x v="1"/>
    <n v="659.03"/>
    <n v="10"/>
    <n v="45.87"/>
    <n v="0"/>
    <x v="0"/>
    <x v="1"/>
  </r>
  <r>
    <s v="O0088"/>
    <s v="2024-06-04"/>
    <s v="C020"/>
    <x v="1"/>
    <n v="831.07"/>
    <n v="4"/>
    <n v="181.88"/>
    <n v="0"/>
    <x v="3"/>
    <x v="1"/>
  </r>
  <r>
    <s v="O0089"/>
    <s v="2024-11-12"/>
    <s v="C072"/>
    <x v="1"/>
    <n v="3845.77"/>
    <n v="9"/>
    <n v="891.82"/>
    <n v="0.15"/>
    <x v="0"/>
    <x v="2"/>
  </r>
  <r>
    <s v="O0090"/>
    <s v="2024-10-28"/>
    <s v="C058"/>
    <x v="0"/>
    <n v="4551.67"/>
    <n v="5"/>
    <n v="633.62"/>
    <n v="0.2"/>
    <x v="0"/>
    <x v="0"/>
  </r>
  <r>
    <s v="O0091"/>
    <s v="2024-02-20"/>
    <s v="C080"/>
    <x v="1"/>
    <n v="395.13"/>
    <n v="4"/>
    <n v="133.57"/>
    <n v="0.1"/>
    <x v="3"/>
    <x v="1"/>
  </r>
  <r>
    <s v="O0092"/>
    <s v="2024-10-09"/>
    <s v="C085"/>
    <x v="1"/>
    <n v="497.82"/>
    <n v="3"/>
    <n v="60.71"/>
    <n v="0"/>
    <x v="0"/>
    <x v="0"/>
  </r>
  <r>
    <s v="O0093"/>
    <s v="2024-05-29"/>
    <s v="C053"/>
    <x v="1"/>
    <n v="2307.4699999999998"/>
    <n v="4"/>
    <n v="526.42999999999995"/>
    <n v="0.1"/>
    <x v="3"/>
    <x v="2"/>
  </r>
  <r>
    <s v="O0094"/>
    <s v="2024-02-06"/>
    <s v="C091"/>
    <x v="2"/>
    <n v="1485.32"/>
    <n v="4"/>
    <n v="457.3"/>
    <n v="0.1"/>
    <x v="2"/>
    <x v="2"/>
  </r>
  <r>
    <s v="O0095"/>
    <s v="2024-04-11"/>
    <s v="C081"/>
    <x v="0"/>
    <n v="2989.97"/>
    <n v="2"/>
    <n v="870.59"/>
    <n v="0.2"/>
    <x v="0"/>
    <x v="0"/>
  </r>
  <r>
    <s v="O0096"/>
    <s v="2024-03-13"/>
    <s v="C029"/>
    <x v="1"/>
    <n v="3273.41"/>
    <n v="1"/>
    <n v="1055.75"/>
    <n v="0.05"/>
    <x v="2"/>
    <x v="1"/>
  </r>
  <r>
    <s v="O0097"/>
    <s v="2024-05-27"/>
    <s v="C040"/>
    <x v="0"/>
    <n v="3015.72"/>
    <n v="2"/>
    <n v="896.49"/>
    <n v="0.15"/>
    <x v="1"/>
    <x v="1"/>
  </r>
  <r>
    <s v="O0098"/>
    <s v="2024-05-19"/>
    <s v="C089"/>
    <x v="2"/>
    <n v="1590.05"/>
    <n v="9"/>
    <n v="271.51"/>
    <n v="0.15"/>
    <x v="2"/>
    <x v="1"/>
  </r>
  <r>
    <s v="O0099"/>
    <s v="2024-08-09"/>
    <s v="C057"/>
    <x v="2"/>
    <n v="494.17"/>
    <n v="6"/>
    <n v="30.62"/>
    <n v="0.2"/>
    <x v="1"/>
    <x v="0"/>
  </r>
  <r>
    <s v="O0100"/>
    <s v="2024-12-11"/>
    <s v="C033"/>
    <x v="2"/>
    <n v="226.74"/>
    <n v="10"/>
    <n v="26.91"/>
    <n v="0"/>
    <x v="3"/>
    <x v="0"/>
  </r>
  <r>
    <s v="O0101"/>
    <s v="2024-01-21"/>
    <s v="C098"/>
    <x v="1"/>
    <n v="3394.18"/>
    <n v="8"/>
    <n v="444.14"/>
    <n v="0.2"/>
    <x v="2"/>
    <x v="2"/>
  </r>
  <r>
    <s v="O0102"/>
    <s v="2024-10-26"/>
    <s v="C084"/>
    <x v="0"/>
    <n v="2266.92"/>
    <n v="8"/>
    <n v="302.51"/>
    <n v="0"/>
    <x v="2"/>
    <x v="2"/>
  </r>
  <r>
    <s v="O0103"/>
    <s v="2024-12-09"/>
    <s v="C061"/>
    <x v="1"/>
    <n v="1805.01"/>
    <n v="3"/>
    <n v="270.74"/>
    <n v="0.1"/>
    <x v="1"/>
    <x v="2"/>
  </r>
  <r>
    <s v="O0104"/>
    <s v="2024-07-24"/>
    <s v="C053"/>
    <x v="2"/>
    <n v="3499"/>
    <n v="1"/>
    <n v="477.49"/>
    <n v="0.15"/>
    <x v="3"/>
    <x v="2"/>
  </r>
  <r>
    <s v="O0105"/>
    <s v="2024-07-25"/>
    <s v="C012"/>
    <x v="2"/>
    <n v="1641.13"/>
    <n v="1"/>
    <n v="241.22"/>
    <n v="0.2"/>
    <x v="1"/>
    <x v="2"/>
  </r>
  <r>
    <s v="O0106"/>
    <s v="2024-07-04"/>
    <s v="C060"/>
    <x v="2"/>
    <n v="2124.91"/>
    <n v="8"/>
    <n v="225.82"/>
    <n v="0.15"/>
    <x v="2"/>
    <x v="2"/>
  </r>
  <r>
    <s v="O0107"/>
    <s v="2024-03-08"/>
    <s v="C098"/>
    <x v="0"/>
    <n v="352.9"/>
    <n v="8"/>
    <n v="45.92"/>
    <n v="0.15"/>
    <x v="2"/>
    <x v="2"/>
  </r>
  <r>
    <s v="O0108"/>
    <s v="2024-05-02"/>
    <s v="C016"/>
    <x v="2"/>
    <n v="241.46"/>
    <n v="3"/>
    <n v="57.71"/>
    <n v="0.1"/>
    <x v="3"/>
    <x v="0"/>
  </r>
  <r>
    <s v="O0109"/>
    <s v="2024-04-25"/>
    <s v="C071"/>
    <x v="1"/>
    <n v="167"/>
    <n v="8"/>
    <n v="28.79"/>
    <n v="0"/>
    <x v="2"/>
    <x v="1"/>
  </r>
  <r>
    <s v="O0110"/>
    <s v="2024-05-29"/>
    <s v="C083"/>
    <x v="2"/>
    <n v="4177.5"/>
    <n v="5"/>
    <n v="833.46"/>
    <n v="0.15"/>
    <x v="2"/>
    <x v="0"/>
  </r>
  <r>
    <s v="O0111"/>
    <s v="2024-10-09"/>
    <s v="C062"/>
    <x v="1"/>
    <n v="4903.2"/>
    <n v="7"/>
    <n v="603.67999999999995"/>
    <n v="0.05"/>
    <x v="0"/>
    <x v="1"/>
  </r>
  <r>
    <s v="O0112"/>
    <s v="2024-02-05"/>
    <s v="C077"/>
    <x v="0"/>
    <n v="2590.38"/>
    <n v="7"/>
    <n v="812.86"/>
    <n v="0.1"/>
    <x v="2"/>
    <x v="0"/>
  </r>
  <r>
    <s v="O0113"/>
    <s v="2024-06-01"/>
    <s v="C065"/>
    <x v="2"/>
    <n v="1409.15"/>
    <n v="10"/>
    <n v="71.540000000000006"/>
    <n v="0.15"/>
    <x v="3"/>
    <x v="2"/>
  </r>
  <r>
    <s v="O0114"/>
    <s v="2024-06-19"/>
    <s v="C020"/>
    <x v="2"/>
    <n v="2288.08"/>
    <n v="9"/>
    <n v="446.87"/>
    <n v="0.15"/>
    <x v="3"/>
    <x v="1"/>
  </r>
  <r>
    <s v="O0115"/>
    <s v="2024-12-23"/>
    <s v="C059"/>
    <x v="1"/>
    <n v="4670.9799999999996"/>
    <n v="10"/>
    <n v="1452.12"/>
    <n v="0.15"/>
    <x v="2"/>
    <x v="2"/>
  </r>
  <r>
    <s v="O0116"/>
    <s v="2024-06-11"/>
    <s v="C030"/>
    <x v="2"/>
    <n v="4294.46"/>
    <n v="8"/>
    <n v="743.94"/>
    <n v="0.15"/>
    <x v="0"/>
    <x v="0"/>
  </r>
  <r>
    <s v="O0117"/>
    <s v="2024-11-29"/>
    <s v="C050"/>
    <x v="1"/>
    <n v="4943.2299999999996"/>
    <n v="8"/>
    <n v="1422.26"/>
    <n v="0"/>
    <x v="1"/>
    <x v="0"/>
  </r>
  <r>
    <s v="O0118"/>
    <s v="2024-02-21"/>
    <s v="C017"/>
    <x v="0"/>
    <n v="2561.23"/>
    <n v="2"/>
    <n v="581.54"/>
    <n v="0.2"/>
    <x v="2"/>
    <x v="1"/>
  </r>
  <r>
    <s v="O0119"/>
    <s v="2024-12-01"/>
    <s v="C059"/>
    <x v="1"/>
    <n v="175.2"/>
    <n v="2"/>
    <n v="16.34"/>
    <n v="0.15"/>
    <x v="2"/>
    <x v="2"/>
  </r>
  <r>
    <s v="O0120"/>
    <s v="2024-11-28"/>
    <s v="C034"/>
    <x v="1"/>
    <n v="1758.95"/>
    <n v="6"/>
    <n v="453.48"/>
    <n v="0.2"/>
    <x v="3"/>
    <x v="1"/>
  </r>
  <r>
    <s v="O0121"/>
    <s v="2024-09-06"/>
    <s v="C049"/>
    <x v="2"/>
    <n v="4775.28"/>
    <n v="1"/>
    <n v="1136.71"/>
    <n v="0.2"/>
    <x v="1"/>
    <x v="1"/>
  </r>
  <r>
    <s v="O0122"/>
    <s v="2024-05-27"/>
    <s v="C009"/>
    <x v="1"/>
    <n v="1250.3699999999999"/>
    <n v="2"/>
    <n v="319.24"/>
    <n v="0.15"/>
    <x v="0"/>
    <x v="2"/>
  </r>
  <r>
    <s v="O0123"/>
    <s v="2024-02-21"/>
    <s v="C013"/>
    <x v="0"/>
    <n v="3825.81"/>
    <n v="3"/>
    <n v="999.18"/>
    <n v="0.1"/>
    <x v="3"/>
    <x v="0"/>
  </r>
  <r>
    <s v="O0124"/>
    <s v="2024-05-30"/>
    <s v="C004"/>
    <x v="0"/>
    <n v="325.36"/>
    <n v="6"/>
    <n v="93.98"/>
    <n v="0.15"/>
    <x v="0"/>
    <x v="2"/>
  </r>
  <r>
    <s v="O0125"/>
    <s v="2024-12-15"/>
    <s v="C019"/>
    <x v="1"/>
    <n v="1296.57"/>
    <n v="3"/>
    <n v="225.1"/>
    <n v="0.05"/>
    <x v="1"/>
    <x v="0"/>
  </r>
  <r>
    <s v="O0126"/>
    <s v="2024-12-15"/>
    <s v="C011"/>
    <x v="1"/>
    <n v="3086.51"/>
    <n v="8"/>
    <n v="508.54"/>
    <n v="0.2"/>
    <x v="1"/>
    <x v="0"/>
  </r>
  <r>
    <s v="O0127"/>
    <s v="2024-08-23"/>
    <s v="C019"/>
    <x v="0"/>
    <n v="1237.72"/>
    <n v="1"/>
    <n v="298.75"/>
    <n v="0.15"/>
    <x v="1"/>
    <x v="0"/>
  </r>
  <r>
    <s v="O0128"/>
    <s v="2024-08-14"/>
    <s v="C037"/>
    <x v="0"/>
    <n v="3420.29"/>
    <n v="10"/>
    <n v="333.11"/>
    <n v="0.1"/>
    <x v="0"/>
    <x v="2"/>
  </r>
  <r>
    <s v="O0129"/>
    <s v="2024-08-21"/>
    <s v="C082"/>
    <x v="0"/>
    <n v="4813.9399999999996"/>
    <n v="4"/>
    <n v="1237.6400000000001"/>
    <n v="0.15"/>
    <x v="3"/>
    <x v="1"/>
  </r>
  <r>
    <s v="O0130"/>
    <s v="2024-07-02"/>
    <s v="C062"/>
    <x v="2"/>
    <n v="622.6"/>
    <n v="5"/>
    <n v="102.36"/>
    <n v="0.1"/>
    <x v="0"/>
    <x v="1"/>
  </r>
  <r>
    <s v="O0131"/>
    <s v="2024-05-20"/>
    <s v="C003"/>
    <x v="1"/>
    <n v="4891.93"/>
    <n v="10"/>
    <n v="1210.5999999999999"/>
    <n v="0"/>
    <x v="2"/>
    <x v="0"/>
  </r>
  <r>
    <s v="O0132"/>
    <s v="2024-05-26"/>
    <s v="C078"/>
    <x v="1"/>
    <n v="3751.34"/>
    <n v="10"/>
    <n v="1124.8499999999999"/>
    <n v="0.1"/>
    <x v="3"/>
    <x v="0"/>
  </r>
  <r>
    <s v="O0133"/>
    <s v="2024-12-13"/>
    <s v="C029"/>
    <x v="2"/>
    <n v="3219.43"/>
    <n v="3"/>
    <n v="760.65"/>
    <n v="0"/>
    <x v="2"/>
    <x v="1"/>
  </r>
  <r>
    <s v="O0134"/>
    <s v="2024-08-13"/>
    <s v="C081"/>
    <x v="1"/>
    <n v="3267.07"/>
    <n v="10"/>
    <n v="466.15"/>
    <n v="0.1"/>
    <x v="0"/>
    <x v="0"/>
  </r>
  <r>
    <s v="O0135"/>
    <s v="2024-06-16"/>
    <s v="C094"/>
    <x v="2"/>
    <n v="743.92"/>
    <n v="7"/>
    <n v="240.2"/>
    <n v="0.05"/>
    <x v="1"/>
    <x v="0"/>
  </r>
  <r>
    <s v="O0136"/>
    <s v="2024-07-06"/>
    <s v="C026"/>
    <x v="2"/>
    <n v="747.58"/>
    <n v="9"/>
    <n v="158.35"/>
    <n v="0.1"/>
    <x v="3"/>
    <x v="2"/>
  </r>
  <r>
    <s v="O0137"/>
    <s v="2024-09-03"/>
    <s v="C022"/>
    <x v="0"/>
    <n v="1359.15"/>
    <n v="6"/>
    <n v="404.22"/>
    <n v="0"/>
    <x v="1"/>
    <x v="2"/>
  </r>
  <r>
    <s v="O0138"/>
    <s v="2024-04-25"/>
    <s v="C060"/>
    <x v="2"/>
    <n v="4818.18"/>
    <n v="7"/>
    <n v="444.37"/>
    <n v="0.2"/>
    <x v="2"/>
    <x v="2"/>
  </r>
  <r>
    <s v="O0139"/>
    <s v="2024-05-15"/>
    <s v="C047"/>
    <x v="2"/>
    <n v="542.48"/>
    <n v="2"/>
    <n v="91.34"/>
    <n v="0.15"/>
    <x v="2"/>
    <x v="2"/>
  </r>
  <r>
    <s v="O0140"/>
    <s v="2024-10-26"/>
    <s v="C048"/>
    <x v="0"/>
    <n v="3396.86"/>
    <n v="6"/>
    <n v="855"/>
    <n v="0"/>
    <x v="3"/>
    <x v="0"/>
  </r>
  <r>
    <s v="O0141"/>
    <s v="2024-10-14"/>
    <s v="C087"/>
    <x v="0"/>
    <n v="1245.73"/>
    <n v="10"/>
    <n v="71.64"/>
    <n v="0.05"/>
    <x v="2"/>
    <x v="0"/>
  </r>
  <r>
    <s v="O0142"/>
    <s v="2024-12-24"/>
    <s v="C083"/>
    <x v="0"/>
    <n v="409.76"/>
    <n v="7"/>
    <n v="121.76"/>
    <n v="0"/>
    <x v="2"/>
    <x v="0"/>
  </r>
  <r>
    <s v="O0143"/>
    <s v="2024-09-09"/>
    <s v="C018"/>
    <x v="1"/>
    <n v="322.2"/>
    <n v="2"/>
    <n v="19.71"/>
    <n v="0.05"/>
    <x v="0"/>
    <x v="0"/>
  </r>
  <r>
    <s v="O0144"/>
    <s v="2024-12-09"/>
    <s v="C069"/>
    <x v="2"/>
    <n v="764.75"/>
    <n v="9"/>
    <n v="142.31"/>
    <n v="0.15"/>
    <x v="3"/>
    <x v="0"/>
  </r>
  <r>
    <s v="O0145"/>
    <s v="2024-07-31"/>
    <s v="C076"/>
    <x v="2"/>
    <n v="3737.12"/>
    <n v="2"/>
    <n v="360.1"/>
    <n v="0.15"/>
    <x v="3"/>
    <x v="2"/>
  </r>
  <r>
    <s v="O0146"/>
    <s v="2024-01-17"/>
    <s v="C079"/>
    <x v="2"/>
    <n v="2099.77"/>
    <n v="6"/>
    <n v="704.38"/>
    <n v="0.05"/>
    <x v="0"/>
    <x v="2"/>
  </r>
  <r>
    <s v="O0147"/>
    <s v="2024-07-04"/>
    <s v="C057"/>
    <x v="1"/>
    <n v="2279.0100000000002"/>
    <n v="6"/>
    <n v="275.38"/>
    <n v="0.2"/>
    <x v="1"/>
    <x v="0"/>
  </r>
  <r>
    <s v="O0148"/>
    <s v="2024-04-07"/>
    <s v="C083"/>
    <x v="1"/>
    <n v="1857.5"/>
    <n v="8"/>
    <n v="314.74"/>
    <n v="0"/>
    <x v="2"/>
    <x v="0"/>
  </r>
  <r>
    <s v="O0149"/>
    <s v="2024-01-11"/>
    <s v="C085"/>
    <x v="1"/>
    <n v="1139.32"/>
    <n v="6"/>
    <n v="275.54000000000002"/>
    <n v="0.05"/>
    <x v="0"/>
    <x v="0"/>
  </r>
  <r>
    <s v="O0150"/>
    <s v="2024-10-10"/>
    <s v="C017"/>
    <x v="1"/>
    <n v="3956.19"/>
    <n v="10"/>
    <n v="441.36"/>
    <n v="0.05"/>
    <x v="2"/>
    <x v="1"/>
  </r>
  <r>
    <s v="O0151"/>
    <s v="2024-11-01"/>
    <s v="C030"/>
    <x v="1"/>
    <n v="1709.94"/>
    <n v="5"/>
    <n v="161.19"/>
    <n v="0.05"/>
    <x v="0"/>
    <x v="0"/>
  </r>
  <r>
    <s v="O0152"/>
    <s v="2024-02-26"/>
    <s v="C017"/>
    <x v="2"/>
    <n v="2747.06"/>
    <n v="1"/>
    <n v="795.42"/>
    <n v="0.05"/>
    <x v="2"/>
    <x v="1"/>
  </r>
  <r>
    <s v="O0153"/>
    <s v="2024-10-28"/>
    <s v="C002"/>
    <x v="0"/>
    <n v="1855.39"/>
    <n v="1"/>
    <n v="531.62"/>
    <n v="0.05"/>
    <x v="3"/>
    <x v="0"/>
  </r>
  <r>
    <s v="O0154"/>
    <s v="2024-09-26"/>
    <s v="C034"/>
    <x v="1"/>
    <n v="356.76"/>
    <n v="2"/>
    <n v="97.22"/>
    <n v="0.15"/>
    <x v="3"/>
    <x v="1"/>
  </r>
  <r>
    <s v="O0155"/>
    <s v="2024-02-25"/>
    <s v="C058"/>
    <x v="0"/>
    <n v="3912.28"/>
    <n v="9"/>
    <n v="797.99"/>
    <n v="0.05"/>
    <x v="0"/>
    <x v="0"/>
  </r>
  <r>
    <s v="O0156"/>
    <s v="2024-12-03"/>
    <s v="C079"/>
    <x v="2"/>
    <n v="312.49"/>
    <n v="5"/>
    <n v="89.05"/>
    <n v="0.15"/>
    <x v="0"/>
    <x v="2"/>
  </r>
  <r>
    <s v="O0157"/>
    <s v="2024-09-02"/>
    <s v="C083"/>
    <x v="0"/>
    <n v="4823.7299999999996"/>
    <n v="7"/>
    <n v="329.21"/>
    <n v="0"/>
    <x v="2"/>
    <x v="0"/>
  </r>
  <r>
    <s v="O0158"/>
    <s v="2024-02-11"/>
    <s v="C063"/>
    <x v="0"/>
    <n v="3590.77"/>
    <n v="10"/>
    <n v="657.36"/>
    <n v="0.05"/>
    <x v="1"/>
    <x v="2"/>
  </r>
  <r>
    <s v="O0159"/>
    <s v="2024-10-26"/>
    <s v="C009"/>
    <x v="2"/>
    <n v="718.34"/>
    <n v="6"/>
    <n v="170.46"/>
    <n v="0.15"/>
    <x v="0"/>
    <x v="2"/>
  </r>
  <r>
    <s v="O0160"/>
    <s v="2024-11-05"/>
    <s v="C077"/>
    <x v="0"/>
    <n v="2699.73"/>
    <n v="2"/>
    <n v="502.46"/>
    <n v="0"/>
    <x v="2"/>
    <x v="0"/>
  </r>
  <r>
    <s v="O0161"/>
    <s v="2024-04-20"/>
    <s v="C084"/>
    <x v="0"/>
    <n v="3289.49"/>
    <n v="8"/>
    <n v="923.32"/>
    <n v="0.05"/>
    <x v="2"/>
    <x v="2"/>
  </r>
  <r>
    <s v="O0162"/>
    <s v="2024-07-31"/>
    <s v="C053"/>
    <x v="2"/>
    <n v="1760.76"/>
    <n v="2"/>
    <n v="327.58999999999997"/>
    <n v="0.1"/>
    <x v="3"/>
    <x v="2"/>
  </r>
  <r>
    <s v="O0163"/>
    <s v="2024-03-19"/>
    <s v="C055"/>
    <x v="2"/>
    <n v="1631.37"/>
    <n v="8"/>
    <n v="206.31"/>
    <n v="0"/>
    <x v="1"/>
    <x v="1"/>
  </r>
  <r>
    <s v="O0164"/>
    <s v="2024-02-19"/>
    <s v="C012"/>
    <x v="2"/>
    <n v="4175.68"/>
    <n v="6"/>
    <n v="325.57"/>
    <n v="0.05"/>
    <x v="1"/>
    <x v="2"/>
  </r>
  <r>
    <s v="O0165"/>
    <s v="2024-10-14"/>
    <s v="C072"/>
    <x v="0"/>
    <n v="393.91"/>
    <n v="2"/>
    <n v="132.74"/>
    <n v="0.15"/>
    <x v="0"/>
    <x v="2"/>
  </r>
  <r>
    <s v="O0166"/>
    <s v="2024-08-04"/>
    <s v="C046"/>
    <x v="2"/>
    <n v="4380.68"/>
    <n v="1"/>
    <n v="1455.87"/>
    <n v="0.1"/>
    <x v="3"/>
    <x v="0"/>
  </r>
  <r>
    <s v="O0167"/>
    <s v="2024-09-16"/>
    <s v="C077"/>
    <x v="1"/>
    <n v="1631"/>
    <n v="3"/>
    <n v="132.24"/>
    <n v="0.15"/>
    <x v="2"/>
    <x v="0"/>
  </r>
  <r>
    <s v="O0168"/>
    <s v="2024-10-11"/>
    <s v="C029"/>
    <x v="0"/>
    <n v="4251.6499999999996"/>
    <n v="2"/>
    <n v="659.15"/>
    <n v="0.1"/>
    <x v="2"/>
    <x v="1"/>
  </r>
  <r>
    <s v="O0169"/>
    <s v="2024-10-14"/>
    <s v="C074"/>
    <x v="2"/>
    <n v="1208.18"/>
    <n v="10"/>
    <n v="215.94"/>
    <n v="0.2"/>
    <x v="2"/>
    <x v="2"/>
  </r>
  <r>
    <s v="O0170"/>
    <s v="2024-12-21"/>
    <s v="C004"/>
    <x v="0"/>
    <n v="3084.08"/>
    <n v="1"/>
    <n v="762.85"/>
    <n v="0.05"/>
    <x v="0"/>
    <x v="2"/>
  </r>
  <r>
    <s v="O0171"/>
    <s v="2024-06-22"/>
    <s v="C035"/>
    <x v="0"/>
    <n v="3543.22"/>
    <n v="1"/>
    <n v="505.6"/>
    <n v="0.05"/>
    <x v="2"/>
    <x v="2"/>
  </r>
  <r>
    <s v="O0172"/>
    <s v="2024-03-13"/>
    <s v="C019"/>
    <x v="2"/>
    <n v="2874.97"/>
    <n v="1"/>
    <n v="489.42"/>
    <n v="0"/>
    <x v="1"/>
    <x v="0"/>
  </r>
  <r>
    <s v="O0173"/>
    <s v="2024-08-20"/>
    <s v="C096"/>
    <x v="0"/>
    <n v="2699.37"/>
    <n v="3"/>
    <n v="439.61"/>
    <n v="0.1"/>
    <x v="0"/>
    <x v="1"/>
  </r>
  <r>
    <s v="O0174"/>
    <s v="2024-10-17"/>
    <s v="C040"/>
    <x v="2"/>
    <n v="3635.82"/>
    <n v="2"/>
    <n v="1029.1199999999999"/>
    <n v="0"/>
    <x v="1"/>
    <x v="1"/>
  </r>
  <r>
    <s v="O0175"/>
    <s v="2024-12-11"/>
    <s v="C020"/>
    <x v="1"/>
    <n v="871.31"/>
    <n v="5"/>
    <n v="205.06"/>
    <n v="0.15"/>
    <x v="3"/>
    <x v="1"/>
  </r>
  <r>
    <s v="O0176"/>
    <s v="2024-07-31"/>
    <s v="C085"/>
    <x v="0"/>
    <n v="2177.67"/>
    <n v="4"/>
    <n v="505.49"/>
    <n v="0.2"/>
    <x v="0"/>
    <x v="0"/>
  </r>
  <r>
    <s v="O0177"/>
    <s v="2024-12-13"/>
    <s v="C015"/>
    <x v="2"/>
    <n v="1791.35"/>
    <n v="10"/>
    <n v="149.16"/>
    <n v="0.15"/>
    <x v="1"/>
    <x v="1"/>
  </r>
  <r>
    <s v="O0178"/>
    <s v="2024-07-21"/>
    <s v="C068"/>
    <x v="2"/>
    <n v="3368.95"/>
    <n v="1"/>
    <n v="214.35"/>
    <n v="0"/>
    <x v="3"/>
    <x v="2"/>
  </r>
  <r>
    <s v="O0179"/>
    <s v="2024-03-11"/>
    <s v="C027"/>
    <x v="0"/>
    <n v="1576.95"/>
    <n v="5"/>
    <n v="178.78"/>
    <n v="0.1"/>
    <x v="2"/>
    <x v="2"/>
  </r>
  <r>
    <s v="O0180"/>
    <s v="2024-03-30"/>
    <s v="C016"/>
    <x v="1"/>
    <n v="137.88"/>
    <n v="7"/>
    <n v="37.79"/>
    <n v="0.2"/>
    <x v="3"/>
    <x v="0"/>
  </r>
  <r>
    <s v="O0181"/>
    <s v="2024-12-08"/>
    <s v="C091"/>
    <x v="0"/>
    <n v="1227.54"/>
    <n v="2"/>
    <n v="267.13"/>
    <n v="0.15"/>
    <x v="2"/>
    <x v="2"/>
  </r>
  <r>
    <s v="O0182"/>
    <s v="2024-02-09"/>
    <s v="C095"/>
    <x v="0"/>
    <n v="307.27999999999997"/>
    <n v="10"/>
    <n v="17.09"/>
    <n v="0.15"/>
    <x v="2"/>
    <x v="0"/>
  </r>
  <r>
    <s v="O0183"/>
    <s v="2024-05-28"/>
    <s v="C074"/>
    <x v="1"/>
    <n v="2081.67"/>
    <n v="7"/>
    <n v="503.85"/>
    <n v="0"/>
    <x v="2"/>
    <x v="2"/>
  </r>
  <r>
    <s v="O0184"/>
    <s v="2024-08-23"/>
    <s v="C042"/>
    <x v="2"/>
    <n v="942.18"/>
    <n v="6"/>
    <n v="314.95999999999998"/>
    <n v="0"/>
    <x v="2"/>
    <x v="2"/>
  </r>
  <r>
    <s v="O0185"/>
    <s v="2024-10-28"/>
    <s v="C056"/>
    <x v="0"/>
    <n v="4237.97"/>
    <n v="9"/>
    <n v="521.25"/>
    <n v="0"/>
    <x v="2"/>
    <x v="0"/>
  </r>
  <r>
    <s v="O0186"/>
    <s v="2024-04-23"/>
    <s v="C051"/>
    <x v="0"/>
    <n v="4365.57"/>
    <n v="3"/>
    <n v="1195.04"/>
    <n v="0"/>
    <x v="3"/>
    <x v="0"/>
  </r>
  <r>
    <s v="O0187"/>
    <s v="2024-04-09"/>
    <s v="C066"/>
    <x v="0"/>
    <n v="3202.8"/>
    <n v="6"/>
    <n v="669.97"/>
    <n v="0.05"/>
    <x v="0"/>
    <x v="2"/>
  </r>
  <r>
    <s v="O0188"/>
    <s v="2024-03-29"/>
    <s v="C031"/>
    <x v="2"/>
    <n v="603.74"/>
    <n v="3"/>
    <n v="76.55"/>
    <n v="0"/>
    <x v="0"/>
    <x v="1"/>
  </r>
  <r>
    <s v="O0189"/>
    <s v="2024-08-25"/>
    <s v="C023"/>
    <x v="2"/>
    <n v="4761.33"/>
    <n v="10"/>
    <n v="1135.03"/>
    <n v="0.15"/>
    <x v="0"/>
    <x v="1"/>
  </r>
  <r>
    <s v="O0190"/>
    <s v="2024-11-21"/>
    <s v="C088"/>
    <x v="2"/>
    <n v="4628.3599999999997"/>
    <n v="6"/>
    <n v="1015.22"/>
    <n v="0.1"/>
    <x v="1"/>
    <x v="2"/>
  </r>
  <r>
    <s v="O0191"/>
    <s v="2024-11-19"/>
    <s v="C020"/>
    <x v="0"/>
    <n v="2254.84"/>
    <n v="5"/>
    <n v="429.94"/>
    <n v="0.2"/>
    <x v="3"/>
    <x v="1"/>
  </r>
  <r>
    <s v="O0192"/>
    <s v="2024-08-24"/>
    <s v="C008"/>
    <x v="0"/>
    <n v="1824.52"/>
    <n v="1"/>
    <n v="131.83000000000001"/>
    <n v="0"/>
    <x v="2"/>
    <x v="0"/>
  </r>
  <r>
    <s v="O0193"/>
    <s v="2024-02-16"/>
    <s v="C048"/>
    <x v="2"/>
    <n v="4175.3100000000004"/>
    <n v="10"/>
    <n v="304.88"/>
    <n v="0.2"/>
    <x v="3"/>
    <x v="0"/>
  </r>
  <r>
    <s v="O0194"/>
    <s v="2024-01-22"/>
    <s v="C050"/>
    <x v="0"/>
    <n v="2367.29"/>
    <n v="10"/>
    <n v="512.03"/>
    <n v="0.05"/>
    <x v="1"/>
    <x v="0"/>
  </r>
  <r>
    <s v="O0195"/>
    <s v="2024-02-01"/>
    <s v="C042"/>
    <x v="0"/>
    <n v="3064.53"/>
    <n v="2"/>
    <n v="614.16"/>
    <n v="0.1"/>
    <x v="2"/>
    <x v="2"/>
  </r>
  <r>
    <s v="O0196"/>
    <s v="2024-01-21"/>
    <s v="C092"/>
    <x v="1"/>
    <n v="513.21"/>
    <n v="8"/>
    <n v="125.14"/>
    <n v="0.15"/>
    <x v="3"/>
    <x v="1"/>
  </r>
  <r>
    <s v="O0197"/>
    <s v="2024-07-09"/>
    <s v="C068"/>
    <x v="0"/>
    <n v="2661.47"/>
    <n v="7"/>
    <n v="259.82"/>
    <n v="0.15"/>
    <x v="3"/>
    <x v="2"/>
  </r>
  <r>
    <s v="O0198"/>
    <s v="2024-11-19"/>
    <s v="C100"/>
    <x v="2"/>
    <n v="1758"/>
    <n v="6"/>
    <n v="403.23"/>
    <n v="0"/>
    <x v="0"/>
    <x v="2"/>
  </r>
  <r>
    <s v="O0199"/>
    <s v="2024-05-25"/>
    <s v="C043"/>
    <x v="0"/>
    <n v="563.08000000000004"/>
    <n v="10"/>
    <n v="142.75"/>
    <n v="0.05"/>
    <x v="3"/>
    <x v="0"/>
  </r>
  <r>
    <s v="O0200"/>
    <s v="2024-06-28"/>
    <s v="C043"/>
    <x v="0"/>
    <n v="499.36"/>
    <n v="7"/>
    <n v="124.38"/>
    <n v="0.05"/>
    <x v="3"/>
    <x v="0"/>
  </r>
  <r>
    <s v="O0201"/>
    <s v="2024-10-13"/>
    <s v="C077"/>
    <x v="0"/>
    <n v="3573.29"/>
    <n v="6"/>
    <n v="269.48"/>
    <n v="0.05"/>
    <x v="2"/>
    <x v="0"/>
  </r>
  <r>
    <s v="O0202"/>
    <s v="2024-12-16"/>
    <s v="C086"/>
    <x v="2"/>
    <n v="3543.87"/>
    <n v="2"/>
    <n v="1184.1199999999999"/>
    <n v="0.15"/>
    <x v="1"/>
    <x v="0"/>
  </r>
  <r>
    <s v="O0203"/>
    <s v="2024-04-02"/>
    <s v="C066"/>
    <x v="1"/>
    <n v="1872.96"/>
    <n v="6"/>
    <n v="297.39"/>
    <n v="0.15"/>
    <x v="0"/>
    <x v="2"/>
  </r>
  <r>
    <s v="O0204"/>
    <s v="2024-02-09"/>
    <s v="C025"/>
    <x v="0"/>
    <n v="1210.06"/>
    <n v="2"/>
    <n v="110.44"/>
    <n v="0.2"/>
    <x v="3"/>
    <x v="2"/>
  </r>
  <r>
    <s v="O0205"/>
    <s v="2024-09-26"/>
    <s v="C099"/>
    <x v="1"/>
    <n v="2744.88"/>
    <n v="6"/>
    <n v="745.49"/>
    <n v="0.2"/>
    <x v="2"/>
    <x v="0"/>
  </r>
  <r>
    <s v="O0206"/>
    <s v="2024-04-02"/>
    <s v="C017"/>
    <x v="2"/>
    <n v="3026.51"/>
    <n v="10"/>
    <n v="291.38"/>
    <n v="0.05"/>
    <x v="2"/>
    <x v="1"/>
  </r>
  <r>
    <s v="O0207"/>
    <s v="2024-12-12"/>
    <s v="C093"/>
    <x v="2"/>
    <n v="2244.6"/>
    <n v="4"/>
    <n v="388.89"/>
    <n v="0.15"/>
    <x v="3"/>
    <x v="1"/>
  </r>
  <r>
    <s v="O0208"/>
    <s v="2024-08-17"/>
    <s v="C079"/>
    <x v="1"/>
    <n v="1496.15"/>
    <n v="9"/>
    <n v="410.78"/>
    <n v="0.05"/>
    <x v="0"/>
    <x v="2"/>
  </r>
  <r>
    <s v="O0209"/>
    <s v="2024-04-09"/>
    <s v="C040"/>
    <x v="0"/>
    <n v="4831.42"/>
    <n v="10"/>
    <n v="1378.46"/>
    <n v="0.15"/>
    <x v="1"/>
    <x v="1"/>
  </r>
  <r>
    <s v="O0210"/>
    <s v="2024-09-14"/>
    <s v="C060"/>
    <x v="2"/>
    <n v="3870.25"/>
    <n v="7"/>
    <n v="1096.97"/>
    <n v="0.05"/>
    <x v="2"/>
    <x v="2"/>
  </r>
  <r>
    <s v="O0211"/>
    <s v="2024-05-08"/>
    <s v="C026"/>
    <x v="1"/>
    <n v="4026.17"/>
    <n v="8"/>
    <n v="368.47"/>
    <n v="0.1"/>
    <x v="3"/>
    <x v="2"/>
  </r>
  <r>
    <s v="O0212"/>
    <s v="2024-09-21"/>
    <s v="C071"/>
    <x v="1"/>
    <n v="4678.04"/>
    <n v="5"/>
    <n v="1232.29"/>
    <n v="0"/>
    <x v="2"/>
    <x v="1"/>
  </r>
  <r>
    <s v="O0213"/>
    <s v="2024-09-19"/>
    <s v="C098"/>
    <x v="1"/>
    <n v="885.53"/>
    <n v="7"/>
    <n v="163.63999999999999"/>
    <n v="0"/>
    <x v="2"/>
    <x v="2"/>
  </r>
  <r>
    <s v="O0214"/>
    <s v="2024-01-14"/>
    <s v="C029"/>
    <x v="0"/>
    <n v="4101.8500000000004"/>
    <n v="1"/>
    <n v="1293.68"/>
    <n v="0.15"/>
    <x v="2"/>
    <x v="1"/>
  </r>
  <r>
    <s v="O0215"/>
    <s v="2024-02-11"/>
    <s v="C065"/>
    <x v="0"/>
    <n v="1932.41"/>
    <n v="4"/>
    <n v="320.49"/>
    <n v="0"/>
    <x v="3"/>
    <x v="2"/>
  </r>
  <r>
    <s v="O0216"/>
    <s v="2024-11-28"/>
    <s v="C041"/>
    <x v="0"/>
    <n v="4661.05"/>
    <n v="3"/>
    <n v="1406.49"/>
    <n v="0.05"/>
    <x v="3"/>
    <x v="2"/>
  </r>
  <r>
    <s v="O0217"/>
    <s v="2024-12-22"/>
    <s v="C005"/>
    <x v="1"/>
    <n v="1505.71"/>
    <n v="8"/>
    <n v="450.1"/>
    <n v="0.15"/>
    <x v="0"/>
    <x v="2"/>
  </r>
  <r>
    <s v="O0218"/>
    <s v="2024-05-11"/>
    <s v="C079"/>
    <x v="1"/>
    <n v="125.73"/>
    <n v="3"/>
    <n v="9.27"/>
    <n v="0.2"/>
    <x v="0"/>
    <x v="2"/>
  </r>
  <r>
    <s v="O0219"/>
    <s v="2024-05-27"/>
    <s v="C094"/>
    <x v="1"/>
    <n v="3083.51"/>
    <n v="5"/>
    <n v="545.71"/>
    <n v="0"/>
    <x v="1"/>
    <x v="0"/>
  </r>
  <r>
    <s v="O0220"/>
    <s v="2024-11-14"/>
    <s v="C007"/>
    <x v="0"/>
    <n v="1268.3499999999999"/>
    <n v="2"/>
    <n v="306.54000000000002"/>
    <n v="0"/>
    <x v="0"/>
    <x v="0"/>
  </r>
  <r>
    <s v="O0221"/>
    <s v="2024-09-20"/>
    <s v="C064"/>
    <x v="2"/>
    <n v="3024.02"/>
    <n v="4"/>
    <n v="166.11"/>
    <n v="0.05"/>
    <x v="1"/>
    <x v="2"/>
  </r>
  <r>
    <s v="O0222"/>
    <s v="2024-05-03"/>
    <s v="C038"/>
    <x v="2"/>
    <n v="2203.27"/>
    <n v="7"/>
    <n v="516.54"/>
    <n v="0.05"/>
    <x v="2"/>
    <x v="2"/>
  </r>
  <r>
    <s v="O0223"/>
    <s v="2024-07-03"/>
    <s v="C086"/>
    <x v="1"/>
    <n v="3374.25"/>
    <n v="9"/>
    <n v="698.62"/>
    <n v="0.2"/>
    <x v="1"/>
    <x v="0"/>
  </r>
  <r>
    <s v="O0224"/>
    <s v="2024-01-11"/>
    <s v="C065"/>
    <x v="0"/>
    <n v="3953.42"/>
    <n v="8"/>
    <n v="799.72"/>
    <n v="0"/>
    <x v="3"/>
    <x v="2"/>
  </r>
  <r>
    <s v="O0225"/>
    <s v="2024-01-09"/>
    <s v="C082"/>
    <x v="0"/>
    <n v="1995.72"/>
    <n v="2"/>
    <n v="323.29000000000002"/>
    <n v="0.1"/>
    <x v="3"/>
    <x v="1"/>
  </r>
  <r>
    <s v="O0226"/>
    <s v="2024-10-24"/>
    <s v="C031"/>
    <x v="2"/>
    <n v="3691.41"/>
    <n v="6"/>
    <n v="880.32"/>
    <n v="0.05"/>
    <x v="0"/>
    <x v="1"/>
  </r>
  <r>
    <s v="O0227"/>
    <s v="2024-11-25"/>
    <s v="C006"/>
    <x v="1"/>
    <n v="1826.27"/>
    <n v="8"/>
    <n v="276.8"/>
    <n v="0.15"/>
    <x v="1"/>
    <x v="0"/>
  </r>
  <r>
    <s v="O0228"/>
    <s v="2024-08-22"/>
    <s v="C081"/>
    <x v="1"/>
    <n v="993.16"/>
    <n v="5"/>
    <n v="89.84"/>
    <n v="0.05"/>
    <x v="0"/>
    <x v="0"/>
  </r>
  <r>
    <s v="O0229"/>
    <s v="2024-06-10"/>
    <s v="C006"/>
    <x v="0"/>
    <n v="3976.44"/>
    <n v="9"/>
    <n v="1255.51"/>
    <n v="0.15"/>
    <x v="1"/>
    <x v="0"/>
  </r>
  <r>
    <s v="O0230"/>
    <s v="2024-11-27"/>
    <s v="C070"/>
    <x v="1"/>
    <n v="2419.66"/>
    <n v="5"/>
    <n v="147.57"/>
    <n v="0.1"/>
    <x v="3"/>
    <x v="1"/>
  </r>
  <r>
    <s v="O0231"/>
    <s v="2024-05-19"/>
    <s v="C100"/>
    <x v="1"/>
    <n v="334.24"/>
    <n v="6"/>
    <n v="82.46"/>
    <n v="0.15"/>
    <x v="0"/>
    <x v="2"/>
  </r>
  <r>
    <s v="O0232"/>
    <s v="2024-07-16"/>
    <s v="C052"/>
    <x v="0"/>
    <n v="3742.21"/>
    <n v="3"/>
    <n v="1191.49"/>
    <n v="0.15"/>
    <x v="2"/>
    <x v="2"/>
  </r>
  <r>
    <s v="O0233"/>
    <s v="2024-09-22"/>
    <s v="C089"/>
    <x v="0"/>
    <n v="2537.86"/>
    <n v="2"/>
    <n v="830.62"/>
    <n v="0.15"/>
    <x v="2"/>
    <x v="1"/>
  </r>
  <r>
    <s v="O0234"/>
    <s v="2024-04-02"/>
    <s v="C011"/>
    <x v="2"/>
    <n v="2209.98"/>
    <n v="5"/>
    <n v="770.24"/>
    <n v="0.1"/>
    <x v="1"/>
    <x v="0"/>
  </r>
  <r>
    <s v="O0235"/>
    <s v="2024-06-05"/>
    <s v="C014"/>
    <x v="0"/>
    <n v="492.34"/>
    <n v="10"/>
    <n v="122.24"/>
    <n v="0.15"/>
    <x v="2"/>
    <x v="2"/>
  </r>
  <r>
    <s v="O0236"/>
    <s v="2024-01-22"/>
    <s v="C022"/>
    <x v="2"/>
    <n v="3479.85"/>
    <n v="6"/>
    <n v="540.99"/>
    <n v="0.2"/>
    <x v="1"/>
    <x v="2"/>
  </r>
  <r>
    <s v="O0237"/>
    <s v="2024-01-30"/>
    <s v="C056"/>
    <x v="1"/>
    <n v="1445.32"/>
    <n v="7"/>
    <n v="497.2"/>
    <n v="0.1"/>
    <x v="2"/>
    <x v="0"/>
  </r>
  <r>
    <s v="O0238"/>
    <s v="2024-01-16"/>
    <s v="C066"/>
    <x v="1"/>
    <n v="4025.37"/>
    <n v="10"/>
    <n v="1021.73"/>
    <n v="0.15"/>
    <x v="0"/>
    <x v="2"/>
  </r>
  <r>
    <s v="O0239"/>
    <s v="2024-11-26"/>
    <s v="C005"/>
    <x v="0"/>
    <n v="718.53"/>
    <n v="6"/>
    <n v="86.8"/>
    <n v="0.15"/>
    <x v="0"/>
    <x v="2"/>
  </r>
  <r>
    <s v="O0240"/>
    <s v="2024-08-18"/>
    <s v="C073"/>
    <x v="0"/>
    <n v="258.69"/>
    <n v="6"/>
    <n v="24.84"/>
    <n v="0.15"/>
    <x v="3"/>
    <x v="2"/>
  </r>
  <r>
    <s v="O0241"/>
    <s v="2024-07-06"/>
    <s v="C098"/>
    <x v="0"/>
    <n v="476.74"/>
    <n v="6"/>
    <n v="43.53"/>
    <n v="0.1"/>
    <x v="2"/>
    <x v="2"/>
  </r>
  <r>
    <s v="O0242"/>
    <s v="2024-04-05"/>
    <s v="C032"/>
    <x v="0"/>
    <n v="4806.55"/>
    <n v="9"/>
    <n v="277.69"/>
    <n v="0.15"/>
    <x v="3"/>
    <x v="1"/>
  </r>
  <r>
    <s v="O0243"/>
    <s v="2024-12-26"/>
    <s v="C072"/>
    <x v="0"/>
    <n v="677.03"/>
    <n v="4"/>
    <n v="191.25"/>
    <n v="0.2"/>
    <x v="0"/>
    <x v="2"/>
  </r>
  <r>
    <s v="O0244"/>
    <s v="2024-04-12"/>
    <s v="C037"/>
    <x v="1"/>
    <n v="3500.51"/>
    <n v="3"/>
    <n v="1223.74"/>
    <n v="0"/>
    <x v="0"/>
    <x v="2"/>
  </r>
  <r>
    <s v="O0245"/>
    <s v="2024-02-14"/>
    <s v="C058"/>
    <x v="2"/>
    <n v="946.02"/>
    <n v="6"/>
    <n v="249.76"/>
    <n v="0.1"/>
    <x v="0"/>
    <x v="0"/>
  </r>
  <r>
    <s v="O0246"/>
    <s v="2024-06-02"/>
    <s v="C091"/>
    <x v="1"/>
    <n v="418.2"/>
    <n v="3"/>
    <n v="88.93"/>
    <n v="0.1"/>
    <x v="2"/>
    <x v="2"/>
  </r>
  <r>
    <s v="O0247"/>
    <s v="2024-03-12"/>
    <s v="C066"/>
    <x v="1"/>
    <n v="1198.78"/>
    <n v="8"/>
    <n v="414.23"/>
    <n v="0"/>
    <x v="0"/>
    <x v="2"/>
  </r>
  <r>
    <s v="O0248"/>
    <s v="2024-10-09"/>
    <s v="C047"/>
    <x v="1"/>
    <n v="2814.71"/>
    <n v="10"/>
    <n v="452.25"/>
    <n v="0"/>
    <x v="2"/>
    <x v="2"/>
  </r>
  <r>
    <s v="O0249"/>
    <s v="2024-09-02"/>
    <s v="C009"/>
    <x v="2"/>
    <n v="1615.52"/>
    <n v="7"/>
    <n v="565.24"/>
    <n v="0.15"/>
    <x v="0"/>
    <x v="2"/>
  </r>
  <r>
    <s v="O0250"/>
    <s v="2024-11-24"/>
    <s v="C074"/>
    <x v="1"/>
    <n v="461.38"/>
    <n v="8"/>
    <n v="157.66"/>
    <n v="0.15"/>
    <x v="2"/>
    <x v="2"/>
  </r>
  <r>
    <s v="O0251"/>
    <s v="2024-10-09"/>
    <s v="C088"/>
    <x v="2"/>
    <n v="2635.06"/>
    <n v="10"/>
    <n v="233.2"/>
    <n v="0.05"/>
    <x v="1"/>
    <x v="2"/>
  </r>
  <r>
    <s v="O0252"/>
    <s v="2024-01-29"/>
    <s v="C099"/>
    <x v="1"/>
    <n v="4834.7"/>
    <n v="9"/>
    <n v="869.21"/>
    <n v="0.05"/>
    <x v="2"/>
    <x v="0"/>
  </r>
  <r>
    <s v="O0253"/>
    <s v="2024-12-29"/>
    <s v="C039"/>
    <x v="1"/>
    <n v="906.82"/>
    <n v="6"/>
    <n v="133.12"/>
    <n v="0.2"/>
    <x v="2"/>
    <x v="0"/>
  </r>
  <r>
    <s v="O0254"/>
    <s v="2024-11-21"/>
    <s v="C037"/>
    <x v="2"/>
    <n v="4245.08"/>
    <n v="5"/>
    <n v="531.41"/>
    <n v="0.05"/>
    <x v="0"/>
    <x v="2"/>
  </r>
  <r>
    <s v="O0255"/>
    <s v="2024-09-14"/>
    <s v="C081"/>
    <x v="2"/>
    <n v="1583.84"/>
    <n v="3"/>
    <n v="332.68"/>
    <n v="0.2"/>
    <x v="0"/>
    <x v="0"/>
  </r>
  <r>
    <s v="O0256"/>
    <s v="2024-11-05"/>
    <s v="C075"/>
    <x v="0"/>
    <n v="855.55"/>
    <n v="10"/>
    <n v="211.85"/>
    <n v="0"/>
    <x v="0"/>
    <x v="2"/>
  </r>
  <r>
    <s v="O0257"/>
    <s v="2024-10-22"/>
    <s v="C004"/>
    <x v="0"/>
    <n v="497.99"/>
    <n v="4"/>
    <n v="166.61"/>
    <n v="0.2"/>
    <x v="0"/>
    <x v="2"/>
  </r>
  <r>
    <s v="O0258"/>
    <s v="2024-11-17"/>
    <s v="C054"/>
    <x v="2"/>
    <n v="3128.73"/>
    <n v="5"/>
    <n v="184.86"/>
    <n v="0.1"/>
    <x v="1"/>
    <x v="2"/>
  </r>
  <r>
    <s v="O0259"/>
    <s v="2024-07-26"/>
    <s v="C062"/>
    <x v="0"/>
    <n v="1299.9000000000001"/>
    <n v="8"/>
    <n v="379.84"/>
    <n v="0"/>
    <x v="0"/>
    <x v="1"/>
  </r>
  <r>
    <s v="O0260"/>
    <s v="2024-09-04"/>
    <s v="C089"/>
    <x v="0"/>
    <n v="393.57"/>
    <n v="4"/>
    <n v="71.58"/>
    <n v="0.1"/>
    <x v="2"/>
    <x v="1"/>
  </r>
  <r>
    <s v="O0261"/>
    <s v="2024-06-12"/>
    <s v="C078"/>
    <x v="2"/>
    <n v="803.98"/>
    <n v="6"/>
    <n v="247.98"/>
    <n v="0.15"/>
    <x v="3"/>
    <x v="0"/>
  </r>
  <r>
    <s v="O0262"/>
    <s v="2024-02-24"/>
    <s v="C017"/>
    <x v="0"/>
    <n v="3827.26"/>
    <n v="4"/>
    <n v="782.65"/>
    <n v="0.15"/>
    <x v="2"/>
    <x v="1"/>
  </r>
  <r>
    <s v="O0263"/>
    <s v="2024-02-19"/>
    <s v="C016"/>
    <x v="1"/>
    <n v="1410.61"/>
    <n v="5"/>
    <n v="175.45"/>
    <n v="0.15"/>
    <x v="3"/>
    <x v="0"/>
  </r>
  <r>
    <s v="O0264"/>
    <s v="2024-03-22"/>
    <s v="C079"/>
    <x v="0"/>
    <n v="2148.86"/>
    <n v="10"/>
    <n v="728.05"/>
    <n v="0.1"/>
    <x v="0"/>
    <x v="2"/>
  </r>
  <r>
    <s v="O0265"/>
    <s v="2024-09-20"/>
    <s v="C025"/>
    <x v="0"/>
    <n v="3839.29"/>
    <n v="8"/>
    <n v="765.86"/>
    <n v="0.1"/>
    <x v="3"/>
    <x v="2"/>
  </r>
  <r>
    <s v="O0266"/>
    <s v="2024-09-15"/>
    <s v="C064"/>
    <x v="0"/>
    <n v="213.56"/>
    <n v="4"/>
    <n v="71.239999999999995"/>
    <n v="0.05"/>
    <x v="1"/>
    <x v="2"/>
  </r>
  <r>
    <s v="O0267"/>
    <s v="2024-09-10"/>
    <s v="C075"/>
    <x v="2"/>
    <n v="1829.19"/>
    <n v="8"/>
    <n v="119.19"/>
    <n v="0.1"/>
    <x v="0"/>
    <x v="2"/>
  </r>
  <r>
    <s v="O0268"/>
    <s v="2024-03-09"/>
    <s v="C069"/>
    <x v="0"/>
    <n v="140.07"/>
    <n v="6"/>
    <n v="11.52"/>
    <n v="0.15"/>
    <x v="3"/>
    <x v="0"/>
  </r>
  <r>
    <s v="O0269"/>
    <s v="2024-10-14"/>
    <s v="C047"/>
    <x v="1"/>
    <n v="321.69"/>
    <n v="6"/>
    <n v="21.02"/>
    <n v="0.2"/>
    <x v="2"/>
    <x v="2"/>
  </r>
  <r>
    <s v="O0270"/>
    <s v="2024-10-08"/>
    <s v="C037"/>
    <x v="0"/>
    <n v="460.31"/>
    <n v="10"/>
    <n v="92.65"/>
    <n v="0.2"/>
    <x v="0"/>
    <x v="2"/>
  </r>
  <r>
    <s v="O0271"/>
    <s v="2024-07-10"/>
    <s v="C016"/>
    <x v="0"/>
    <n v="730.45"/>
    <n v="9"/>
    <n v="57.71"/>
    <n v="0.1"/>
    <x v="3"/>
    <x v="0"/>
  </r>
  <r>
    <s v="O0272"/>
    <s v="2024-07-24"/>
    <s v="C097"/>
    <x v="2"/>
    <n v="806.91"/>
    <n v="1"/>
    <n v="186.19"/>
    <n v="0"/>
    <x v="0"/>
    <x v="2"/>
  </r>
  <r>
    <s v="O0273"/>
    <s v="2024-08-30"/>
    <s v="C005"/>
    <x v="2"/>
    <n v="771.48"/>
    <n v="8"/>
    <n v="115.65"/>
    <n v="0.05"/>
    <x v="0"/>
    <x v="2"/>
  </r>
  <r>
    <s v="O0274"/>
    <s v="2024-11-09"/>
    <s v="C078"/>
    <x v="0"/>
    <n v="4476.3500000000004"/>
    <n v="3"/>
    <n v="411.53"/>
    <n v="0.15"/>
    <x v="3"/>
    <x v="0"/>
  </r>
  <r>
    <s v="O0275"/>
    <s v="2024-06-21"/>
    <s v="C079"/>
    <x v="2"/>
    <n v="3722.66"/>
    <n v="9"/>
    <n v="520.32000000000005"/>
    <n v="0.2"/>
    <x v="0"/>
    <x v="2"/>
  </r>
  <r>
    <s v="O0276"/>
    <s v="2024-01-09"/>
    <s v="C063"/>
    <x v="0"/>
    <n v="3572.83"/>
    <n v="6"/>
    <n v="499.97"/>
    <n v="0"/>
    <x v="1"/>
    <x v="2"/>
  </r>
  <r>
    <s v="O0277"/>
    <s v="2024-12-18"/>
    <s v="C054"/>
    <x v="2"/>
    <n v="2960.14"/>
    <n v="1"/>
    <n v="855.56"/>
    <n v="0.2"/>
    <x v="1"/>
    <x v="2"/>
  </r>
  <r>
    <s v="O0278"/>
    <s v="2024-10-23"/>
    <s v="C061"/>
    <x v="2"/>
    <n v="1401.1"/>
    <n v="4"/>
    <n v="345.62"/>
    <n v="0"/>
    <x v="1"/>
    <x v="2"/>
  </r>
  <r>
    <s v="O0279"/>
    <s v="2024-11-13"/>
    <s v="C075"/>
    <x v="0"/>
    <n v="2454.1999999999998"/>
    <n v="3"/>
    <n v="508.68"/>
    <n v="0.05"/>
    <x v="0"/>
    <x v="2"/>
  </r>
  <r>
    <s v="O0280"/>
    <s v="2024-04-07"/>
    <s v="C005"/>
    <x v="1"/>
    <n v="2905.59"/>
    <n v="8"/>
    <n v="755.91"/>
    <n v="0.1"/>
    <x v="0"/>
    <x v="2"/>
  </r>
  <r>
    <s v="O0281"/>
    <s v="2024-07-29"/>
    <s v="C054"/>
    <x v="2"/>
    <n v="842.01"/>
    <n v="10"/>
    <n v="216.52"/>
    <n v="0.15"/>
    <x v="1"/>
    <x v="2"/>
  </r>
  <r>
    <s v="O0282"/>
    <s v="2024-09-22"/>
    <s v="C095"/>
    <x v="1"/>
    <n v="3664.27"/>
    <n v="9"/>
    <n v="959.06"/>
    <n v="0.1"/>
    <x v="2"/>
    <x v="0"/>
  </r>
  <r>
    <s v="O0283"/>
    <s v="2024-03-29"/>
    <s v="C085"/>
    <x v="0"/>
    <n v="2444.02"/>
    <n v="9"/>
    <n v="398.49"/>
    <n v="0.1"/>
    <x v="0"/>
    <x v="0"/>
  </r>
  <r>
    <s v="O0284"/>
    <s v="2024-12-14"/>
    <s v="C070"/>
    <x v="2"/>
    <n v="1836.01"/>
    <n v="5"/>
    <n v="517.01"/>
    <n v="0.2"/>
    <x v="3"/>
    <x v="1"/>
  </r>
  <r>
    <s v="O0285"/>
    <s v="2024-10-12"/>
    <s v="C062"/>
    <x v="0"/>
    <n v="1042.0899999999999"/>
    <n v="4"/>
    <n v="129.16999999999999"/>
    <n v="0.1"/>
    <x v="0"/>
    <x v="1"/>
  </r>
  <r>
    <s v="O0286"/>
    <s v="2024-12-26"/>
    <s v="C099"/>
    <x v="0"/>
    <n v="1516.12"/>
    <n v="6"/>
    <n v="170.08"/>
    <n v="0.15"/>
    <x v="2"/>
    <x v="0"/>
  </r>
  <r>
    <s v="O0287"/>
    <s v="2024-05-20"/>
    <s v="C045"/>
    <x v="0"/>
    <n v="2846.39"/>
    <n v="2"/>
    <n v="940.29"/>
    <n v="0.2"/>
    <x v="3"/>
    <x v="1"/>
  </r>
  <r>
    <s v="O0288"/>
    <s v="2024-07-21"/>
    <s v="C087"/>
    <x v="0"/>
    <n v="2761.64"/>
    <n v="3"/>
    <n v="880.21"/>
    <n v="0.1"/>
    <x v="2"/>
    <x v="0"/>
  </r>
  <r>
    <s v="O0289"/>
    <s v="2024-06-26"/>
    <s v="C006"/>
    <x v="0"/>
    <n v="1509.39"/>
    <n v="5"/>
    <n v="398.84"/>
    <n v="0.15"/>
    <x v="1"/>
    <x v="0"/>
  </r>
  <r>
    <s v="O0290"/>
    <s v="2024-10-14"/>
    <s v="C028"/>
    <x v="2"/>
    <n v="1090.1300000000001"/>
    <n v="5"/>
    <n v="230.64"/>
    <n v="0.05"/>
    <x v="0"/>
    <x v="0"/>
  </r>
  <r>
    <s v="O0291"/>
    <s v="2024-05-04"/>
    <s v="C014"/>
    <x v="1"/>
    <n v="3116.82"/>
    <n v="9"/>
    <n v="704.55"/>
    <n v="0.05"/>
    <x v="2"/>
    <x v="2"/>
  </r>
  <r>
    <s v="O0292"/>
    <s v="2024-06-18"/>
    <s v="C082"/>
    <x v="2"/>
    <n v="1240.9000000000001"/>
    <n v="8"/>
    <n v="99.35"/>
    <n v="0"/>
    <x v="3"/>
    <x v="1"/>
  </r>
  <r>
    <s v="O0293"/>
    <s v="2024-10-08"/>
    <s v="C088"/>
    <x v="1"/>
    <n v="3876.75"/>
    <n v="7"/>
    <n v="199.86"/>
    <n v="0.15"/>
    <x v="1"/>
    <x v="2"/>
  </r>
  <r>
    <s v="O0294"/>
    <s v="2024-05-27"/>
    <s v="C062"/>
    <x v="0"/>
    <n v="3287.64"/>
    <n v="5"/>
    <n v="909.93"/>
    <n v="0"/>
    <x v="0"/>
    <x v="1"/>
  </r>
  <r>
    <s v="O0295"/>
    <s v="2024-09-30"/>
    <s v="C099"/>
    <x v="2"/>
    <n v="538.36"/>
    <n v="1"/>
    <n v="119.65"/>
    <n v="0.05"/>
    <x v="2"/>
    <x v="0"/>
  </r>
  <r>
    <s v="O0296"/>
    <s v="2024-01-19"/>
    <s v="C054"/>
    <x v="0"/>
    <n v="4423"/>
    <n v="8"/>
    <n v="454.4"/>
    <n v="0.05"/>
    <x v="1"/>
    <x v="2"/>
  </r>
  <r>
    <s v="O0297"/>
    <s v="2024-01-20"/>
    <s v="C096"/>
    <x v="1"/>
    <n v="4814.4399999999996"/>
    <n v="5"/>
    <n v="1578.23"/>
    <n v="0.2"/>
    <x v="0"/>
    <x v="1"/>
  </r>
  <r>
    <s v="O0298"/>
    <s v="2024-05-25"/>
    <s v="C078"/>
    <x v="0"/>
    <n v="625.77"/>
    <n v="9"/>
    <n v="215.83"/>
    <n v="0.2"/>
    <x v="3"/>
    <x v="0"/>
  </r>
  <r>
    <s v="O0299"/>
    <s v="2024-09-15"/>
    <s v="C064"/>
    <x v="0"/>
    <n v="4457.37"/>
    <n v="5"/>
    <n v="402.32"/>
    <n v="0.05"/>
    <x v="1"/>
    <x v="2"/>
  </r>
  <r>
    <s v="O0300"/>
    <s v="2024-11-27"/>
    <s v="C015"/>
    <x v="0"/>
    <n v="1720.35"/>
    <n v="3"/>
    <n v="463.35"/>
    <n v="0"/>
    <x v="1"/>
    <x v="1"/>
  </r>
  <r>
    <s v="O0301"/>
    <s v="2024-12-11"/>
    <s v="C095"/>
    <x v="1"/>
    <n v="1751.85"/>
    <n v="3"/>
    <n v="242.64"/>
    <n v="0.2"/>
    <x v="2"/>
    <x v="0"/>
  </r>
  <r>
    <s v="O0302"/>
    <s v="2024-09-20"/>
    <s v="C082"/>
    <x v="0"/>
    <n v="4495.51"/>
    <n v="2"/>
    <n v="1340.1"/>
    <n v="0.15"/>
    <x v="3"/>
    <x v="1"/>
  </r>
  <r>
    <s v="O0303"/>
    <s v="2024-09-01"/>
    <s v="C086"/>
    <x v="0"/>
    <n v="567.39"/>
    <n v="4"/>
    <n v="195.47"/>
    <n v="0"/>
    <x v="1"/>
    <x v="0"/>
  </r>
  <r>
    <s v="O0304"/>
    <s v="2024-05-16"/>
    <s v="C034"/>
    <x v="0"/>
    <n v="1979.51"/>
    <n v="5"/>
    <n v="364.27"/>
    <n v="0.2"/>
    <x v="3"/>
    <x v="1"/>
  </r>
  <r>
    <s v="O0305"/>
    <s v="2024-07-03"/>
    <s v="C093"/>
    <x v="2"/>
    <n v="2907.1"/>
    <n v="4"/>
    <n v="373.46"/>
    <n v="0"/>
    <x v="3"/>
    <x v="1"/>
  </r>
  <r>
    <s v="O0306"/>
    <s v="2024-07-26"/>
    <s v="C086"/>
    <x v="2"/>
    <n v="679.3"/>
    <n v="9"/>
    <n v="96.49"/>
    <n v="0.1"/>
    <x v="1"/>
    <x v="0"/>
  </r>
  <r>
    <s v="O0307"/>
    <s v="2024-05-31"/>
    <s v="C089"/>
    <x v="0"/>
    <n v="675.34"/>
    <n v="10"/>
    <n v="219.38"/>
    <n v="0.05"/>
    <x v="2"/>
    <x v="1"/>
  </r>
  <r>
    <s v="O0308"/>
    <s v="2024-08-20"/>
    <s v="C029"/>
    <x v="2"/>
    <n v="4791.07"/>
    <n v="10"/>
    <n v="926.85"/>
    <n v="0.1"/>
    <x v="2"/>
    <x v="1"/>
  </r>
  <r>
    <s v="O0309"/>
    <s v="2024-10-02"/>
    <s v="C054"/>
    <x v="2"/>
    <n v="3539.51"/>
    <n v="4"/>
    <n v="1146.23"/>
    <n v="0.05"/>
    <x v="1"/>
    <x v="2"/>
  </r>
  <r>
    <s v="O0310"/>
    <s v="2024-02-11"/>
    <s v="C088"/>
    <x v="2"/>
    <n v="3798.22"/>
    <n v="8"/>
    <n v="1184.82"/>
    <n v="0.2"/>
    <x v="1"/>
    <x v="2"/>
  </r>
  <r>
    <s v="O0311"/>
    <s v="2024-02-27"/>
    <s v="C091"/>
    <x v="1"/>
    <n v="1872.75"/>
    <n v="9"/>
    <n v="608.97"/>
    <n v="0.2"/>
    <x v="2"/>
    <x v="2"/>
  </r>
  <r>
    <s v="O0312"/>
    <s v="2024-06-16"/>
    <s v="C026"/>
    <x v="2"/>
    <n v="2906.24"/>
    <n v="8"/>
    <n v="275.95999999999998"/>
    <n v="0"/>
    <x v="3"/>
    <x v="2"/>
  </r>
  <r>
    <s v="O0313"/>
    <s v="2024-02-16"/>
    <s v="C088"/>
    <x v="2"/>
    <n v="1106.47"/>
    <n v="8"/>
    <n v="248.89"/>
    <n v="0"/>
    <x v="1"/>
    <x v="2"/>
  </r>
  <r>
    <s v="O0314"/>
    <s v="2024-10-15"/>
    <s v="C059"/>
    <x v="1"/>
    <n v="746.53"/>
    <n v="9"/>
    <n v="130.36000000000001"/>
    <n v="0.15"/>
    <x v="2"/>
    <x v="2"/>
  </r>
  <r>
    <s v="O0315"/>
    <s v="2024-07-21"/>
    <s v="C087"/>
    <x v="0"/>
    <n v="4053.89"/>
    <n v="1"/>
    <n v="1082.32"/>
    <n v="0.05"/>
    <x v="2"/>
    <x v="0"/>
  </r>
  <r>
    <s v="O0316"/>
    <s v="2024-12-24"/>
    <s v="C075"/>
    <x v="1"/>
    <n v="457.84"/>
    <n v="9"/>
    <n v="81.09"/>
    <n v="0"/>
    <x v="0"/>
    <x v="2"/>
  </r>
  <r>
    <s v="O0317"/>
    <s v="2024-05-26"/>
    <s v="C009"/>
    <x v="0"/>
    <n v="4932.07"/>
    <n v="3"/>
    <n v="945.09"/>
    <n v="0.05"/>
    <x v="0"/>
    <x v="2"/>
  </r>
  <r>
    <s v="O0318"/>
    <s v="2024-08-03"/>
    <s v="C099"/>
    <x v="0"/>
    <n v="3243.47"/>
    <n v="7"/>
    <n v="871.8"/>
    <n v="0.15"/>
    <x v="2"/>
    <x v="0"/>
  </r>
  <r>
    <s v="O0319"/>
    <s v="2024-12-04"/>
    <s v="C049"/>
    <x v="2"/>
    <n v="1940.66"/>
    <n v="3"/>
    <n v="494.52"/>
    <n v="0.1"/>
    <x v="1"/>
    <x v="1"/>
  </r>
  <r>
    <s v="O0320"/>
    <s v="2024-09-27"/>
    <s v="C016"/>
    <x v="1"/>
    <n v="974.52"/>
    <n v="4"/>
    <n v="205.8"/>
    <n v="0"/>
    <x v="3"/>
    <x v="0"/>
  </r>
  <r>
    <s v="O0321"/>
    <s v="2024-12-10"/>
    <s v="C097"/>
    <x v="2"/>
    <n v="211.4"/>
    <n v="9"/>
    <n v="29.49"/>
    <n v="0.15"/>
    <x v="0"/>
    <x v="2"/>
  </r>
  <r>
    <s v="O0322"/>
    <s v="2024-08-23"/>
    <s v="C069"/>
    <x v="0"/>
    <n v="1958.45"/>
    <n v="3"/>
    <n v="232.86"/>
    <n v="0.1"/>
    <x v="3"/>
    <x v="0"/>
  </r>
  <r>
    <s v="O0323"/>
    <s v="2024-02-27"/>
    <s v="C025"/>
    <x v="1"/>
    <n v="4693.3100000000004"/>
    <n v="7"/>
    <n v="1255.49"/>
    <n v="0.2"/>
    <x v="3"/>
    <x v="2"/>
  </r>
  <r>
    <s v="O0324"/>
    <s v="2024-05-03"/>
    <s v="C099"/>
    <x v="1"/>
    <n v="4687.57"/>
    <n v="2"/>
    <n v="1484.61"/>
    <n v="0"/>
    <x v="2"/>
    <x v="0"/>
  </r>
  <r>
    <s v="O0325"/>
    <s v="2024-12-26"/>
    <s v="C077"/>
    <x v="1"/>
    <n v="264.52"/>
    <n v="4"/>
    <n v="60.66"/>
    <n v="0"/>
    <x v="2"/>
    <x v="0"/>
  </r>
  <r>
    <s v="O0326"/>
    <s v="2024-01-29"/>
    <s v="C052"/>
    <x v="1"/>
    <n v="2250.92"/>
    <n v="9"/>
    <n v="477.03"/>
    <n v="0.1"/>
    <x v="2"/>
    <x v="2"/>
  </r>
  <r>
    <s v="O0327"/>
    <s v="2024-06-12"/>
    <s v="C030"/>
    <x v="2"/>
    <n v="4097.3500000000004"/>
    <n v="10"/>
    <n v="1104.05"/>
    <n v="0.1"/>
    <x v="0"/>
    <x v="0"/>
  </r>
  <r>
    <s v="O0328"/>
    <s v="2024-12-04"/>
    <s v="C031"/>
    <x v="2"/>
    <n v="1578.65"/>
    <n v="4"/>
    <n v="146.78"/>
    <n v="0.15"/>
    <x v="0"/>
    <x v="1"/>
  </r>
  <r>
    <s v="O0329"/>
    <s v="2024-10-29"/>
    <s v="C039"/>
    <x v="2"/>
    <n v="1448.25"/>
    <n v="3"/>
    <n v="314.29000000000002"/>
    <n v="0.15"/>
    <x v="2"/>
    <x v="0"/>
  </r>
  <r>
    <s v="O0330"/>
    <s v="2024-11-25"/>
    <s v="C072"/>
    <x v="2"/>
    <n v="2528.54"/>
    <n v="7"/>
    <n v="863.97"/>
    <n v="0.2"/>
    <x v="0"/>
    <x v="2"/>
  </r>
  <r>
    <s v="O0331"/>
    <s v="2024-06-02"/>
    <s v="C041"/>
    <x v="0"/>
    <n v="3511.91"/>
    <n v="3"/>
    <n v="605.73"/>
    <n v="0.2"/>
    <x v="3"/>
    <x v="2"/>
  </r>
  <r>
    <s v="O0332"/>
    <s v="2024-12-28"/>
    <s v="C061"/>
    <x v="1"/>
    <n v="1280.74"/>
    <n v="8"/>
    <n v="150.62"/>
    <n v="0"/>
    <x v="1"/>
    <x v="2"/>
  </r>
  <r>
    <s v="O0333"/>
    <s v="2024-09-28"/>
    <s v="C072"/>
    <x v="1"/>
    <n v="2122.12"/>
    <n v="7"/>
    <n v="371.27"/>
    <n v="0.05"/>
    <x v="0"/>
    <x v="2"/>
  </r>
  <r>
    <s v="O0334"/>
    <s v="2024-08-18"/>
    <s v="C033"/>
    <x v="0"/>
    <n v="1096.3499999999999"/>
    <n v="2"/>
    <n v="267.52"/>
    <n v="0.2"/>
    <x v="3"/>
    <x v="0"/>
  </r>
  <r>
    <s v="O0335"/>
    <s v="2024-07-12"/>
    <s v="C093"/>
    <x v="2"/>
    <n v="4164.09"/>
    <n v="10"/>
    <n v="272.58999999999997"/>
    <n v="0.2"/>
    <x v="3"/>
    <x v="1"/>
  </r>
  <r>
    <s v="O0336"/>
    <s v="2024-10-27"/>
    <s v="C006"/>
    <x v="2"/>
    <n v="4380.74"/>
    <n v="9"/>
    <n v="466.33"/>
    <n v="0.05"/>
    <x v="1"/>
    <x v="0"/>
  </r>
  <r>
    <s v="O0337"/>
    <s v="2024-06-04"/>
    <s v="C062"/>
    <x v="1"/>
    <n v="1123.56"/>
    <n v="4"/>
    <n v="361.91"/>
    <n v="0.05"/>
    <x v="0"/>
    <x v="1"/>
  </r>
  <r>
    <s v="O0338"/>
    <s v="2024-09-02"/>
    <s v="C095"/>
    <x v="1"/>
    <n v="674.85"/>
    <n v="10"/>
    <n v="236.11"/>
    <n v="0.05"/>
    <x v="2"/>
    <x v="0"/>
  </r>
  <r>
    <s v="O0339"/>
    <s v="2024-05-24"/>
    <s v="C051"/>
    <x v="0"/>
    <n v="4584.12"/>
    <n v="8"/>
    <n v="988.45"/>
    <n v="0.2"/>
    <x v="3"/>
    <x v="0"/>
  </r>
  <r>
    <s v="O0340"/>
    <s v="2024-09-19"/>
    <s v="C084"/>
    <x v="0"/>
    <n v="1860.37"/>
    <n v="8"/>
    <n v="239"/>
    <n v="0"/>
    <x v="2"/>
    <x v="2"/>
  </r>
  <r>
    <s v="O0341"/>
    <s v="2024-04-14"/>
    <s v="C093"/>
    <x v="0"/>
    <n v="2400.5"/>
    <n v="6"/>
    <n v="724.76"/>
    <n v="0.15"/>
    <x v="3"/>
    <x v="1"/>
  </r>
  <r>
    <s v="O0342"/>
    <s v="2024-03-15"/>
    <s v="C006"/>
    <x v="1"/>
    <n v="2856.37"/>
    <n v="5"/>
    <n v="332.43"/>
    <n v="0.2"/>
    <x v="1"/>
    <x v="0"/>
  </r>
  <r>
    <s v="O0343"/>
    <s v="2024-03-19"/>
    <s v="C075"/>
    <x v="1"/>
    <n v="2937.8"/>
    <n v="6"/>
    <n v="514.91999999999996"/>
    <n v="0.05"/>
    <x v="0"/>
    <x v="2"/>
  </r>
  <r>
    <s v="O0344"/>
    <s v="2024-10-08"/>
    <s v="C049"/>
    <x v="2"/>
    <n v="2891.97"/>
    <n v="6"/>
    <n v="357.79"/>
    <n v="0.1"/>
    <x v="1"/>
    <x v="1"/>
  </r>
  <r>
    <s v="O0345"/>
    <s v="2024-11-24"/>
    <s v="C098"/>
    <x v="2"/>
    <n v="4125.8"/>
    <n v="8"/>
    <n v="1402.58"/>
    <n v="0.15"/>
    <x v="2"/>
    <x v="2"/>
  </r>
  <r>
    <s v="O0346"/>
    <s v="2024-03-12"/>
    <s v="C022"/>
    <x v="2"/>
    <n v="3690.58"/>
    <n v="9"/>
    <n v="574.45000000000005"/>
    <n v="0.15"/>
    <x v="1"/>
    <x v="2"/>
  </r>
  <r>
    <s v="O0347"/>
    <s v="2024-11-24"/>
    <s v="C024"/>
    <x v="1"/>
    <n v="4592.8100000000004"/>
    <n v="9"/>
    <n v="976.62"/>
    <n v="0"/>
    <x v="0"/>
    <x v="2"/>
  </r>
  <r>
    <s v="O0348"/>
    <s v="2024-01-04"/>
    <s v="C010"/>
    <x v="0"/>
    <n v="4731.42"/>
    <n v="3"/>
    <n v="1185.05"/>
    <n v="0.05"/>
    <x v="2"/>
    <x v="2"/>
  </r>
  <r>
    <s v="O0349"/>
    <s v="2024-09-15"/>
    <s v="C009"/>
    <x v="0"/>
    <n v="3565.13"/>
    <n v="6"/>
    <n v="188.03"/>
    <n v="0"/>
    <x v="0"/>
    <x v="2"/>
  </r>
  <r>
    <s v="O0350"/>
    <s v="2024-09-04"/>
    <s v="C080"/>
    <x v="2"/>
    <n v="3224.87"/>
    <n v="8"/>
    <n v="1064.76"/>
    <n v="0"/>
    <x v="3"/>
    <x v="1"/>
  </r>
  <r>
    <s v="O0351"/>
    <s v="2024-01-09"/>
    <s v="C001"/>
    <x v="2"/>
    <n v="2707.84"/>
    <n v="5"/>
    <n v="469.54"/>
    <n v="0.2"/>
    <x v="0"/>
    <x v="0"/>
  </r>
  <r>
    <s v="O0352"/>
    <s v="2024-12-11"/>
    <s v="C037"/>
    <x v="0"/>
    <n v="184"/>
    <n v="3"/>
    <n v="54.09"/>
    <n v="0"/>
    <x v="0"/>
    <x v="2"/>
  </r>
  <r>
    <s v="O0353"/>
    <s v="2024-11-13"/>
    <s v="C013"/>
    <x v="2"/>
    <n v="2669.49"/>
    <n v="5"/>
    <n v="326.45"/>
    <n v="0.1"/>
    <x v="3"/>
    <x v="0"/>
  </r>
  <r>
    <s v="O0354"/>
    <s v="2024-07-26"/>
    <s v="C035"/>
    <x v="0"/>
    <n v="3995.19"/>
    <n v="10"/>
    <n v="294.47000000000003"/>
    <n v="0.05"/>
    <x v="2"/>
    <x v="2"/>
  </r>
  <r>
    <s v="O0355"/>
    <s v="2024-02-11"/>
    <s v="C090"/>
    <x v="2"/>
    <n v="1206.7"/>
    <n v="1"/>
    <n v="307.95999999999998"/>
    <n v="0"/>
    <x v="1"/>
    <x v="0"/>
  </r>
  <r>
    <s v="O0356"/>
    <s v="2024-01-29"/>
    <s v="C052"/>
    <x v="2"/>
    <n v="1958.39"/>
    <n v="1"/>
    <n v="422.64"/>
    <n v="0.05"/>
    <x v="2"/>
    <x v="2"/>
  </r>
  <r>
    <s v="O0357"/>
    <s v="2024-06-18"/>
    <s v="C011"/>
    <x v="2"/>
    <n v="2549.31"/>
    <n v="2"/>
    <n v="459.32"/>
    <n v="0.2"/>
    <x v="1"/>
    <x v="0"/>
  </r>
  <r>
    <s v="O0358"/>
    <s v="2024-12-20"/>
    <s v="C006"/>
    <x v="2"/>
    <n v="1225.8599999999999"/>
    <n v="8"/>
    <n v="392.74"/>
    <n v="0.1"/>
    <x v="1"/>
    <x v="0"/>
  </r>
  <r>
    <s v="O0359"/>
    <s v="2024-05-23"/>
    <s v="C006"/>
    <x v="2"/>
    <n v="4628.38"/>
    <n v="10"/>
    <n v="1181.76"/>
    <n v="0"/>
    <x v="1"/>
    <x v="0"/>
  </r>
  <r>
    <s v="O0360"/>
    <s v="2024-04-16"/>
    <s v="C023"/>
    <x v="2"/>
    <n v="4650.96"/>
    <n v="3"/>
    <n v="671.34"/>
    <n v="0.15"/>
    <x v="0"/>
    <x v="1"/>
  </r>
  <r>
    <s v="O0361"/>
    <s v="2024-10-17"/>
    <s v="C010"/>
    <x v="0"/>
    <n v="1566.46"/>
    <n v="9"/>
    <n v="343.35"/>
    <n v="0.1"/>
    <x v="2"/>
    <x v="2"/>
  </r>
  <r>
    <s v="O0362"/>
    <s v="2024-12-18"/>
    <s v="C050"/>
    <x v="2"/>
    <n v="3802.49"/>
    <n v="2"/>
    <n v="349.77"/>
    <n v="0.2"/>
    <x v="1"/>
    <x v="0"/>
  </r>
  <r>
    <s v="O0363"/>
    <s v="2024-08-11"/>
    <s v="C096"/>
    <x v="1"/>
    <n v="4874.18"/>
    <n v="2"/>
    <n v="322.23"/>
    <n v="0.1"/>
    <x v="0"/>
    <x v="1"/>
  </r>
  <r>
    <s v="O0364"/>
    <s v="2024-07-22"/>
    <s v="C078"/>
    <x v="0"/>
    <n v="3868.13"/>
    <n v="1"/>
    <n v="1301.46"/>
    <n v="0.1"/>
    <x v="3"/>
    <x v="0"/>
  </r>
  <r>
    <s v="O0365"/>
    <s v="2024-07-11"/>
    <s v="C058"/>
    <x v="0"/>
    <n v="2503.96"/>
    <n v="3"/>
    <n v="392.48"/>
    <n v="0.2"/>
    <x v="0"/>
    <x v="0"/>
  </r>
  <r>
    <s v="O0366"/>
    <s v="2024-05-31"/>
    <s v="C085"/>
    <x v="1"/>
    <n v="1962.36"/>
    <n v="2"/>
    <n v="552.70000000000005"/>
    <n v="0"/>
    <x v="0"/>
    <x v="0"/>
  </r>
  <r>
    <s v="O0367"/>
    <s v="2024-11-20"/>
    <s v="C035"/>
    <x v="1"/>
    <n v="855.68"/>
    <n v="7"/>
    <n v="225.47"/>
    <n v="0.1"/>
    <x v="2"/>
    <x v="2"/>
  </r>
  <r>
    <s v="O0368"/>
    <s v="2024-06-06"/>
    <s v="C047"/>
    <x v="0"/>
    <n v="622.1"/>
    <n v="6"/>
    <n v="32.07"/>
    <n v="0.1"/>
    <x v="2"/>
    <x v="2"/>
  </r>
  <r>
    <s v="O0369"/>
    <s v="2024-08-17"/>
    <s v="C014"/>
    <x v="2"/>
    <n v="749.28"/>
    <n v="9"/>
    <n v="79.59"/>
    <n v="0.2"/>
    <x v="2"/>
    <x v="2"/>
  </r>
  <r>
    <s v="O0370"/>
    <s v="2024-10-10"/>
    <s v="C053"/>
    <x v="1"/>
    <n v="606.14"/>
    <n v="10"/>
    <n v="46.6"/>
    <n v="0.2"/>
    <x v="3"/>
    <x v="2"/>
  </r>
  <r>
    <s v="O0371"/>
    <s v="2024-07-30"/>
    <s v="C042"/>
    <x v="0"/>
    <n v="4332.22"/>
    <n v="2"/>
    <n v="232.65"/>
    <n v="0.2"/>
    <x v="2"/>
    <x v="2"/>
  </r>
  <r>
    <s v="O0372"/>
    <s v="2024-07-13"/>
    <s v="C032"/>
    <x v="1"/>
    <n v="2902.61"/>
    <n v="3"/>
    <n v="292.8"/>
    <n v="0.1"/>
    <x v="3"/>
    <x v="1"/>
  </r>
  <r>
    <s v="O0373"/>
    <s v="2024-03-26"/>
    <s v="C039"/>
    <x v="0"/>
    <n v="1415.19"/>
    <n v="5"/>
    <n v="132.72"/>
    <n v="0.15"/>
    <x v="2"/>
    <x v="0"/>
  </r>
  <r>
    <s v="O0374"/>
    <s v="2024-05-08"/>
    <s v="C039"/>
    <x v="1"/>
    <n v="2472.73"/>
    <n v="8"/>
    <n v="180.7"/>
    <n v="0.2"/>
    <x v="2"/>
    <x v="0"/>
  </r>
  <r>
    <s v="O0375"/>
    <s v="2024-06-04"/>
    <s v="C079"/>
    <x v="1"/>
    <n v="1058.19"/>
    <n v="7"/>
    <n v="86.87"/>
    <n v="0.1"/>
    <x v="0"/>
    <x v="2"/>
  </r>
  <r>
    <s v="O0376"/>
    <s v="2024-08-13"/>
    <s v="C080"/>
    <x v="0"/>
    <n v="1961.46"/>
    <n v="7"/>
    <n v="605.41999999999996"/>
    <n v="0.2"/>
    <x v="3"/>
    <x v="1"/>
  </r>
  <r>
    <s v="O0377"/>
    <s v="2024-12-21"/>
    <s v="C018"/>
    <x v="1"/>
    <n v="1572.13"/>
    <n v="8"/>
    <n v="363.1"/>
    <n v="0.1"/>
    <x v="0"/>
    <x v="0"/>
  </r>
  <r>
    <s v="O0378"/>
    <s v="2024-05-29"/>
    <s v="C023"/>
    <x v="2"/>
    <n v="4826.42"/>
    <n v="8"/>
    <n v="1643.96"/>
    <n v="0.2"/>
    <x v="0"/>
    <x v="1"/>
  </r>
  <r>
    <s v="O0379"/>
    <s v="2024-07-20"/>
    <s v="C032"/>
    <x v="0"/>
    <n v="1696.84"/>
    <n v="2"/>
    <n v="227.53"/>
    <n v="0.2"/>
    <x v="3"/>
    <x v="1"/>
  </r>
  <r>
    <s v="O0380"/>
    <s v="2024-12-15"/>
    <s v="C026"/>
    <x v="2"/>
    <n v="3001.91"/>
    <n v="1"/>
    <n v="641.47"/>
    <n v="0.15"/>
    <x v="3"/>
    <x v="2"/>
  </r>
  <r>
    <s v="O0381"/>
    <s v="2024-12-20"/>
    <s v="C091"/>
    <x v="1"/>
    <n v="1127.28"/>
    <n v="7"/>
    <n v="326.13"/>
    <n v="0.15"/>
    <x v="2"/>
    <x v="2"/>
  </r>
  <r>
    <s v="O0382"/>
    <s v="2024-12-03"/>
    <s v="C018"/>
    <x v="1"/>
    <n v="3203.35"/>
    <n v="7"/>
    <n v="392.75"/>
    <n v="0.15"/>
    <x v="0"/>
    <x v="0"/>
  </r>
  <r>
    <s v="O0383"/>
    <s v="2024-10-25"/>
    <s v="C010"/>
    <x v="0"/>
    <n v="2300.4299999999998"/>
    <n v="9"/>
    <n v="527.66999999999996"/>
    <n v="0.2"/>
    <x v="2"/>
    <x v="2"/>
  </r>
  <r>
    <s v="O0384"/>
    <s v="2024-07-03"/>
    <s v="C089"/>
    <x v="2"/>
    <n v="2149.67"/>
    <n v="9"/>
    <n v="131.19"/>
    <n v="0.2"/>
    <x v="2"/>
    <x v="1"/>
  </r>
  <r>
    <s v="O0385"/>
    <s v="2024-05-07"/>
    <s v="C082"/>
    <x v="2"/>
    <n v="4580.57"/>
    <n v="6"/>
    <n v="379.32"/>
    <n v="0.05"/>
    <x v="3"/>
    <x v="1"/>
  </r>
  <r>
    <s v="O0386"/>
    <s v="2024-11-26"/>
    <s v="C083"/>
    <x v="2"/>
    <n v="3102.12"/>
    <n v="7"/>
    <n v="679.26"/>
    <n v="0.1"/>
    <x v="2"/>
    <x v="0"/>
  </r>
  <r>
    <s v="O0387"/>
    <s v="2024-04-23"/>
    <s v="C056"/>
    <x v="2"/>
    <n v="619.13"/>
    <n v="9"/>
    <n v="49.27"/>
    <n v="0.2"/>
    <x v="2"/>
    <x v="0"/>
  </r>
  <r>
    <s v="O0388"/>
    <s v="2024-07-10"/>
    <s v="C075"/>
    <x v="0"/>
    <n v="3469.56"/>
    <n v="8"/>
    <n v="403.54"/>
    <n v="0.2"/>
    <x v="0"/>
    <x v="2"/>
  </r>
  <r>
    <s v="O0389"/>
    <s v="2024-01-13"/>
    <s v="C089"/>
    <x v="0"/>
    <n v="2552.2800000000002"/>
    <n v="2"/>
    <n v="391.75"/>
    <n v="0.1"/>
    <x v="2"/>
    <x v="1"/>
  </r>
  <r>
    <s v="O0390"/>
    <s v="2024-03-13"/>
    <s v="C054"/>
    <x v="0"/>
    <n v="4610.68"/>
    <n v="5"/>
    <n v="349.29"/>
    <n v="0.1"/>
    <x v="1"/>
    <x v="2"/>
  </r>
  <r>
    <s v="O0391"/>
    <s v="2024-06-27"/>
    <s v="C059"/>
    <x v="0"/>
    <n v="3942.92"/>
    <n v="2"/>
    <n v="813.56"/>
    <n v="0.15"/>
    <x v="2"/>
    <x v="2"/>
  </r>
  <r>
    <s v="O0392"/>
    <s v="2024-06-02"/>
    <s v="C093"/>
    <x v="1"/>
    <n v="3514.14"/>
    <n v="2"/>
    <n v="511.91"/>
    <n v="0"/>
    <x v="3"/>
    <x v="1"/>
  </r>
  <r>
    <s v="O0393"/>
    <s v="2024-03-25"/>
    <s v="C044"/>
    <x v="2"/>
    <n v="3275.05"/>
    <n v="4"/>
    <n v="829.05"/>
    <n v="0.2"/>
    <x v="2"/>
    <x v="0"/>
  </r>
  <r>
    <s v="O0394"/>
    <s v="2024-08-06"/>
    <s v="C023"/>
    <x v="0"/>
    <n v="2804.36"/>
    <n v="4"/>
    <n v="418.68"/>
    <n v="0.15"/>
    <x v="0"/>
    <x v="1"/>
  </r>
  <r>
    <s v="O0395"/>
    <s v="2024-08-09"/>
    <s v="C081"/>
    <x v="0"/>
    <n v="1003.81"/>
    <n v="1"/>
    <n v="243.07"/>
    <n v="0.2"/>
    <x v="0"/>
    <x v="0"/>
  </r>
  <r>
    <s v="O0396"/>
    <s v="2024-01-03"/>
    <s v="C026"/>
    <x v="2"/>
    <n v="2302.92"/>
    <n v="4"/>
    <n v="411.91"/>
    <n v="0.05"/>
    <x v="3"/>
    <x v="2"/>
  </r>
  <r>
    <s v="O0397"/>
    <s v="2024-02-02"/>
    <s v="C036"/>
    <x v="2"/>
    <n v="3786.39"/>
    <n v="2"/>
    <n v="1107.97"/>
    <n v="0.2"/>
    <x v="3"/>
    <x v="2"/>
  </r>
  <r>
    <s v="O0398"/>
    <s v="2024-02-28"/>
    <s v="C024"/>
    <x v="0"/>
    <n v="1892.39"/>
    <n v="8"/>
    <n v="206.5"/>
    <n v="0.2"/>
    <x v="0"/>
    <x v="2"/>
  </r>
  <r>
    <s v="O0399"/>
    <s v="2024-07-19"/>
    <s v="C082"/>
    <x v="2"/>
    <n v="1635.68"/>
    <n v="2"/>
    <n v="272.49"/>
    <n v="0.1"/>
    <x v="3"/>
    <x v="1"/>
  </r>
  <r>
    <s v="O0400"/>
    <s v="2024-12-10"/>
    <s v="C046"/>
    <x v="2"/>
    <n v="4243.04"/>
    <n v="5"/>
    <n v="998"/>
    <n v="0.2"/>
    <x v="3"/>
    <x v="0"/>
  </r>
  <r>
    <s v="O0401"/>
    <s v="2024-03-01"/>
    <s v="C076"/>
    <x v="1"/>
    <n v="515.28"/>
    <n v="5"/>
    <n v="46.47"/>
    <n v="0"/>
    <x v="3"/>
    <x v="2"/>
  </r>
  <r>
    <s v="O0402"/>
    <s v="2024-07-17"/>
    <s v="C024"/>
    <x v="0"/>
    <n v="1929.2"/>
    <n v="10"/>
    <n v="178.27"/>
    <n v="0.05"/>
    <x v="0"/>
    <x v="2"/>
  </r>
  <r>
    <s v="O0403"/>
    <s v="2024-11-21"/>
    <s v="C074"/>
    <x v="2"/>
    <n v="1980.18"/>
    <n v="3"/>
    <n v="209.36"/>
    <n v="0.2"/>
    <x v="2"/>
    <x v="2"/>
  </r>
  <r>
    <s v="O0404"/>
    <s v="2024-06-10"/>
    <s v="C022"/>
    <x v="0"/>
    <n v="2499.25"/>
    <n v="10"/>
    <n v="230.15"/>
    <n v="0"/>
    <x v="1"/>
    <x v="2"/>
  </r>
  <r>
    <s v="O0405"/>
    <s v="2024-04-09"/>
    <s v="C046"/>
    <x v="0"/>
    <n v="4764.03"/>
    <n v="9"/>
    <n v="930.81"/>
    <n v="0.2"/>
    <x v="3"/>
    <x v="0"/>
  </r>
  <r>
    <s v="O0406"/>
    <s v="2024-07-31"/>
    <s v="C084"/>
    <x v="2"/>
    <n v="2525.35"/>
    <n v="8"/>
    <n v="645"/>
    <n v="0.15"/>
    <x v="2"/>
    <x v="2"/>
  </r>
  <r>
    <s v="O0407"/>
    <s v="2024-04-22"/>
    <s v="C022"/>
    <x v="0"/>
    <n v="505.09"/>
    <n v="1"/>
    <n v="29.93"/>
    <n v="0.1"/>
    <x v="1"/>
    <x v="2"/>
  </r>
  <r>
    <s v="O0408"/>
    <s v="2024-08-22"/>
    <s v="C029"/>
    <x v="2"/>
    <n v="2734.28"/>
    <n v="8"/>
    <n v="274.69"/>
    <n v="0.2"/>
    <x v="2"/>
    <x v="1"/>
  </r>
  <r>
    <s v="O0409"/>
    <s v="2024-10-05"/>
    <s v="C066"/>
    <x v="0"/>
    <n v="654.73"/>
    <n v="9"/>
    <n v="55.17"/>
    <n v="0"/>
    <x v="0"/>
    <x v="2"/>
  </r>
  <r>
    <s v="O0410"/>
    <s v="2024-08-05"/>
    <s v="C098"/>
    <x v="1"/>
    <n v="3623"/>
    <n v="4"/>
    <n v="774.98"/>
    <n v="0.1"/>
    <x v="2"/>
    <x v="2"/>
  </r>
  <r>
    <s v="O0411"/>
    <s v="2024-02-14"/>
    <s v="C005"/>
    <x v="0"/>
    <n v="2303.69"/>
    <n v="2"/>
    <n v="356.09"/>
    <n v="0.05"/>
    <x v="0"/>
    <x v="2"/>
  </r>
  <r>
    <s v="O0412"/>
    <s v="2024-06-28"/>
    <s v="C027"/>
    <x v="2"/>
    <n v="4072.44"/>
    <n v="10"/>
    <n v="921.91"/>
    <n v="0.15"/>
    <x v="2"/>
    <x v="2"/>
  </r>
  <r>
    <s v="O0413"/>
    <s v="2024-04-15"/>
    <s v="C022"/>
    <x v="1"/>
    <n v="3119.14"/>
    <n v="10"/>
    <n v="890.37"/>
    <n v="0.1"/>
    <x v="1"/>
    <x v="2"/>
  </r>
  <r>
    <s v="O0414"/>
    <s v="2024-06-14"/>
    <s v="C069"/>
    <x v="2"/>
    <n v="1477.32"/>
    <n v="5"/>
    <n v="312.64999999999998"/>
    <n v="0.1"/>
    <x v="3"/>
    <x v="0"/>
  </r>
  <r>
    <s v="O0415"/>
    <s v="2024-12-13"/>
    <s v="C074"/>
    <x v="1"/>
    <n v="1409.98"/>
    <n v="3"/>
    <n v="433.43"/>
    <n v="0.15"/>
    <x v="2"/>
    <x v="2"/>
  </r>
  <r>
    <s v="O0416"/>
    <s v="2024-03-05"/>
    <s v="C008"/>
    <x v="2"/>
    <n v="4963.18"/>
    <n v="3"/>
    <n v="1539.15"/>
    <n v="0.05"/>
    <x v="2"/>
    <x v="0"/>
  </r>
  <r>
    <s v="O0417"/>
    <s v="2024-12-12"/>
    <s v="C019"/>
    <x v="0"/>
    <n v="3585.83"/>
    <n v="8"/>
    <n v="1070.53"/>
    <n v="0.05"/>
    <x v="1"/>
    <x v="0"/>
  </r>
  <r>
    <s v="O0418"/>
    <s v="2024-07-11"/>
    <s v="C074"/>
    <x v="0"/>
    <n v="3198.77"/>
    <n v="2"/>
    <n v="762.41"/>
    <n v="0"/>
    <x v="2"/>
    <x v="2"/>
  </r>
  <r>
    <s v="O0419"/>
    <s v="2024-07-07"/>
    <s v="C052"/>
    <x v="0"/>
    <n v="2626.51"/>
    <n v="8"/>
    <n v="350.55"/>
    <n v="0.1"/>
    <x v="2"/>
    <x v="2"/>
  </r>
  <r>
    <s v="O0420"/>
    <s v="2024-02-17"/>
    <s v="C075"/>
    <x v="2"/>
    <n v="112.12"/>
    <n v="8"/>
    <n v="31.64"/>
    <n v="0.1"/>
    <x v="0"/>
    <x v="2"/>
  </r>
  <r>
    <s v="O0421"/>
    <s v="2024-08-07"/>
    <s v="C009"/>
    <x v="1"/>
    <n v="3998.82"/>
    <n v="8"/>
    <n v="677.06"/>
    <n v="0.1"/>
    <x v="0"/>
    <x v="2"/>
  </r>
  <r>
    <s v="O0422"/>
    <s v="2024-10-22"/>
    <s v="C042"/>
    <x v="1"/>
    <n v="4158.88"/>
    <n v="10"/>
    <n v="629.35"/>
    <n v="0.15"/>
    <x v="2"/>
    <x v="2"/>
  </r>
  <r>
    <s v="O0423"/>
    <s v="2024-01-24"/>
    <s v="C044"/>
    <x v="1"/>
    <n v="4481.3599999999997"/>
    <n v="8"/>
    <n v="1248.8499999999999"/>
    <n v="0"/>
    <x v="2"/>
    <x v="0"/>
  </r>
  <r>
    <s v="O0424"/>
    <s v="2024-08-21"/>
    <s v="C016"/>
    <x v="1"/>
    <n v="4654.22"/>
    <n v="7"/>
    <n v="453.3"/>
    <n v="0.05"/>
    <x v="3"/>
    <x v="0"/>
  </r>
  <r>
    <s v="O0425"/>
    <s v="2024-06-03"/>
    <s v="C089"/>
    <x v="1"/>
    <n v="4556.1000000000004"/>
    <n v="5"/>
    <n v="1433.55"/>
    <n v="0"/>
    <x v="2"/>
    <x v="1"/>
  </r>
  <r>
    <s v="O0426"/>
    <s v="2024-12-06"/>
    <s v="C084"/>
    <x v="2"/>
    <n v="1866.13"/>
    <n v="3"/>
    <n v="139.44999999999999"/>
    <n v="0"/>
    <x v="2"/>
    <x v="2"/>
  </r>
  <r>
    <s v="O0427"/>
    <s v="2024-04-29"/>
    <s v="C051"/>
    <x v="0"/>
    <n v="3165.46"/>
    <n v="2"/>
    <n v="847.7"/>
    <n v="0"/>
    <x v="3"/>
    <x v="0"/>
  </r>
  <r>
    <s v="O0428"/>
    <s v="2024-10-30"/>
    <s v="C001"/>
    <x v="1"/>
    <n v="1145.76"/>
    <n v="9"/>
    <n v="84.08"/>
    <n v="0.15"/>
    <x v="0"/>
    <x v="0"/>
  </r>
  <r>
    <s v="O0429"/>
    <s v="2024-03-02"/>
    <s v="C002"/>
    <x v="0"/>
    <n v="139.51"/>
    <n v="3"/>
    <n v="21.36"/>
    <n v="0.15"/>
    <x v="3"/>
    <x v="0"/>
  </r>
  <r>
    <s v="O0430"/>
    <s v="2024-02-22"/>
    <s v="C010"/>
    <x v="1"/>
    <n v="1221.8399999999999"/>
    <n v="6"/>
    <n v="93.84"/>
    <n v="0.1"/>
    <x v="2"/>
    <x v="2"/>
  </r>
  <r>
    <s v="O0431"/>
    <s v="2024-03-09"/>
    <s v="C039"/>
    <x v="2"/>
    <n v="771.93"/>
    <n v="3"/>
    <n v="217.71"/>
    <n v="0"/>
    <x v="2"/>
    <x v="0"/>
  </r>
  <r>
    <s v="O0432"/>
    <s v="2024-03-25"/>
    <s v="C068"/>
    <x v="0"/>
    <n v="2860.13"/>
    <n v="6"/>
    <n v="666.68"/>
    <n v="0.05"/>
    <x v="3"/>
    <x v="2"/>
  </r>
  <r>
    <s v="O0433"/>
    <s v="2024-11-11"/>
    <s v="C081"/>
    <x v="2"/>
    <n v="3766.52"/>
    <n v="8"/>
    <n v="1227.77"/>
    <n v="0.05"/>
    <x v="0"/>
    <x v="0"/>
  </r>
  <r>
    <s v="O0434"/>
    <s v="2024-03-04"/>
    <s v="C012"/>
    <x v="2"/>
    <n v="4493.3100000000004"/>
    <n v="7"/>
    <n v="413.4"/>
    <n v="0.1"/>
    <x v="1"/>
    <x v="2"/>
  </r>
  <r>
    <s v="O0435"/>
    <s v="2024-05-21"/>
    <s v="C055"/>
    <x v="2"/>
    <n v="1641.07"/>
    <n v="2"/>
    <n v="150.88999999999999"/>
    <n v="0.05"/>
    <x v="1"/>
    <x v="1"/>
  </r>
  <r>
    <s v="O0436"/>
    <s v="2024-05-25"/>
    <s v="C071"/>
    <x v="2"/>
    <n v="3044.9"/>
    <n v="1"/>
    <n v="811.02"/>
    <n v="0.1"/>
    <x v="2"/>
    <x v="1"/>
  </r>
  <r>
    <s v="O0437"/>
    <s v="2024-07-19"/>
    <s v="C027"/>
    <x v="0"/>
    <n v="2636.97"/>
    <n v="1"/>
    <n v="534.92999999999995"/>
    <n v="0.05"/>
    <x v="2"/>
    <x v="2"/>
  </r>
  <r>
    <s v="O0438"/>
    <s v="2024-11-22"/>
    <s v="C064"/>
    <x v="2"/>
    <n v="1990.84"/>
    <n v="2"/>
    <n v="243.53"/>
    <n v="0.2"/>
    <x v="1"/>
    <x v="2"/>
  </r>
  <r>
    <s v="O0439"/>
    <s v="2024-03-08"/>
    <s v="C002"/>
    <x v="0"/>
    <n v="4935.72"/>
    <n v="10"/>
    <n v="1629.66"/>
    <n v="0.15"/>
    <x v="3"/>
    <x v="0"/>
  </r>
  <r>
    <s v="O0440"/>
    <s v="2024-08-29"/>
    <s v="C047"/>
    <x v="1"/>
    <n v="2777.15"/>
    <n v="1"/>
    <n v="282.8"/>
    <n v="0.2"/>
    <x v="2"/>
    <x v="2"/>
  </r>
  <r>
    <s v="O0441"/>
    <s v="2024-01-31"/>
    <s v="C009"/>
    <x v="0"/>
    <n v="167.59"/>
    <n v="9"/>
    <n v="19.23"/>
    <n v="0.1"/>
    <x v="0"/>
    <x v="2"/>
  </r>
  <r>
    <s v="O0442"/>
    <s v="2024-08-04"/>
    <s v="C081"/>
    <x v="2"/>
    <n v="3591.88"/>
    <n v="7"/>
    <n v="1006.2"/>
    <n v="0"/>
    <x v="0"/>
    <x v="0"/>
  </r>
  <r>
    <s v="O0443"/>
    <s v="2024-05-22"/>
    <s v="C082"/>
    <x v="1"/>
    <n v="2729.17"/>
    <n v="5"/>
    <n v="640.85"/>
    <n v="0"/>
    <x v="3"/>
    <x v="1"/>
  </r>
  <r>
    <s v="O0444"/>
    <s v="2024-03-20"/>
    <s v="C066"/>
    <x v="2"/>
    <n v="4612.53"/>
    <n v="6"/>
    <n v="1578.84"/>
    <n v="0.15"/>
    <x v="0"/>
    <x v="2"/>
  </r>
  <r>
    <s v="O0445"/>
    <s v="2024-12-14"/>
    <s v="C076"/>
    <x v="2"/>
    <n v="3208.04"/>
    <n v="2"/>
    <n v="963.56"/>
    <n v="0.1"/>
    <x v="3"/>
    <x v="2"/>
  </r>
  <r>
    <s v="O0446"/>
    <s v="2024-05-02"/>
    <s v="C090"/>
    <x v="1"/>
    <n v="2243.6799999999998"/>
    <n v="4"/>
    <n v="753.94"/>
    <n v="0"/>
    <x v="1"/>
    <x v="0"/>
  </r>
  <r>
    <s v="O0447"/>
    <s v="2024-01-29"/>
    <s v="C056"/>
    <x v="0"/>
    <n v="668.33"/>
    <n v="3"/>
    <n v="156.18"/>
    <n v="0"/>
    <x v="2"/>
    <x v="0"/>
  </r>
  <r>
    <s v="O0448"/>
    <s v="2024-03-24"/>
    <s v="C002"/>
    <x v="0"/>
    <n v="3568.71"/>
    <n v="6"/>
    <n v="929.47"/>
    <n v="0.2"/>
    <x v="3"/>
    <x v="0"/>
  </r>
  <r>
    <s v="O0449"/>
    <s v="2024-03-26"/>
    <s v="C067"/>
    <x v="0"/>
    <n v="3936.64"/>
    <n v="3"/>
    <n v="1048.05"/>
    <n v="0.1"/>
    <x v="0"/>
    <x v="2"/>
  </r>
  <r>
    <s v="O0450"/>
    <s v="2024-01-16"/>
    <s v="C094"/>
    <x v="0"/>
    <n v="4443.43"/>
    <n v="7"/>
    <n v="1250.51"/>
    <n v="0.1"/>
    <x v="1"/>
    <x v="0"/>
  </r>
  <r>
    <s v="O0451"/>
    <s v="2024-10-22"/>
    <s v="C068"/>
    <x v="2"/>
    <n v="412.97"/>
    <n v="2"/>
    <n v="108.9"/>
    <n v="0.15"/>
    <x v="3"/>
    <x v="2"/>
  </r>
  <r>
    <s v="O0452"/>
    <s v="2024-10-17"/>
    <s v="C059"/>
    <x v="1"/>
    <n v="2602.83"/>
    <n v="6"/>
    <n v="173.43"/>
    <n v="0.05"/>
    <x v="2"/>
    <x v="2"/>
  </r>
  <r>
    <s v="O0453"/>
    <s v="2024-12-11"/>
    <s v="C033"/>
    <x v="2"/>
    <n v="3889.31"/>
    <n v="2"/>
    <n v="1237.8900000000001"/>
    <n v="0.05"/>
    <x v="3"/>
    <x v="0"/>
  </r>
  <r>
    <s v="O0454"/>
    <s v="2024-01-07"/>
    <s v="C095"/>
    <x v="1"/>
    <n v="2593.2399999999998"/>
    <n v="1"/>
    <n v="163.92"/>
    <n v="0.15"/>
    <x v="2"/>
    <x v="0"/>
  </r>
  <r>
    <s v="O0455"/>
    <s v="2024-01-19"/>
    <s v="C047"/>
    <x v="2"/>
    <n v="1976.6"/>
    <n v="7"/>
    <n v="187.83"/>
    <n v="0.05"/>
    <x v="2"/>
    <x v="2"/>
  </r>
  <r>
    <s v="O0456"/>
    <s v="2024-06-12"/>
    <s v="C042"/>
    <x v="0"/>
    <n v="1316.49"/>
    <n v="2"/>
    <n v="427.54"/>
    <n v="0.2"/>
    <x v="2"/>
    <x v="2"/>
  </r>
  <r>
    <s v="O0457"/>
    <s v="2024-01-27"/>
    <s v="C048"/>
    <x v="1"/>
    <n v="685.06"/>
    <n v="4"/>
    <n v="172.63"/>
    <n v="0.2"/>
    <x v="3"/>
    <x v="0"/>
  </r>
  <r>
    <s v="O0458"/>
    <s v="2024-08-26"/>
    <s v="C006"/>
    <x v="0"/>
    <n v="4774.99"/>
    <n v="5"/>
    <n v="337.49"/>
    <n v="0.1"/>
    <x v="1"/>
    <x v="0"/>
  </r>
  <r>
    <s v="O0459"/>
    <s v="2024-04-12"/>
    <s v="C012"/>
    <x v="0"/>
    <n v="2810.15"/>
    <n v="10"/>
    <n v="147.22999999999999"/>
    <n v="0.1"/>
    <x v="1"/>
    <x v="2"/>
  </r>
  <r>
    <s v="O0460"/>
    <s v="2024-10-29"/>
    <s v="C095"/>
    <x v="0"/>
    <n v="3151.32"/>
    <n v="4"/>
    <n v="596.16"/>
    <n v="0.2"/>
    <x v="2"/>
    <x v="0"/>
  </r>
  <r>
    <s v="O0461"/>
    <s v="2024-07-28"/>
    <s v="C098"/>
    <x v="1"/>
    <n v="4000.27"/>
    <n v="4"/>
    <n v="380.71"/>
    <n v="0.2"/>
    <x v="2"/>
    <x v="2"/>
  </r>
  <r>
    <s v="O0462"/>
    <s v="2024-01-05"/>
    <s v="C045"/>
    <x v="0"/>
    <n v="3216.12"/>
    <n v="1"/>
    <n v="829.88"/>
    <n v="0.15"/>
    <x v="3"/>
    <x v="1"/>
  </r>
  <r>
    <s v="O0463"/>
    <s v="2024-09-28"/>
    <s v="C095"/>
    <x v="1"/>
    <n v="3663.35"/>
    <n v="7"/>
    <n v="297.41000000000003"/>
    <n v="0.15"/>
    <x v="2"/>
    <x v="0"/>
  </r>
  <r>
    <s v="O0464"/>
    <s v="2024-05-23"/>
    <s v="C008"/>
    <x v="1"/>
    <n v="4865.54"/>
    <n v="1"/>
    <n v="451.09"/>
    <n v="0.05"/>
    <x v="2"/>
    <x v="0"/>
  </r>
  <r>
    <s v="O0465"/>
    <s v="2024-08-22"/>
    <s v="C067"/>
    <x v="2"/>
    <n v="2123.98"/>
    <n v="2"/>
    <n v="676.86"/>
    <n v="0.2"/>
    <x v="0"/>
    <x v="2"/>
  </r>
  <r>
    <s v="O0466"/>
    <s v="2024-07-20"/>
    <s v="C013"/>
    <x v="1"/>
    <n v="2576.6"/>
    <n v="10"/>
    <n v="621.38"/>
    <n v="0.2"/>
    <x v="3"/>
    <x v="0"/>
  </r>
  <r>
    <s v="O0467"/>
    <s v="2024-05-01"/>
    <s v="C008"/>
    <x v="0"/>
    <n v="2231.42"/>
    <n v="5"/>
    <n v="757.04"/>
    <n v="0.1"/>
    <x v="2"/>
    <x v="0"/>
  </r>
  <r>
    <s v="O0468"/>
    <s v="2024-06-11"/>
    <s v="C051"/>
    <x v="0"/>
    <n v="3533.56"/>
    <n v="5"/>
    <n v="956.2"/>
    <n v="0.05"/>
    <x v="3"/>
    <x v="0"/>
  </r>
  <r>
    <s v="O0469"/>
    <s v="2024-10-26"/>
    <s v="C010"/>
    <x v="1"/>
    <n v="4723.42"/>
    <n v="3"/>
    <n v="429.05"/>
    <n v="0"/>
    <x v="2"/>
    <x v="2"/>
  </r>
  <r>
    <s v="O0470"/>
    <s v="2024-03-02"/>
    <s v="C022"/>
    <x v="2"/>
    <n v="2302.88"/>
    <n v="6"/>
    <n v="332.1"/>
    <n v="0.05"/>
    <x v="1"/>
    <x v="2"/>
  </r>
  <r>
    <s v="O0471"/>
    <s v="2024-03-02"/>
    <s v="C058"/>
    <x v="1"/>
    <n v="1610.71"/>
    <n v="3"/>
    <n v="208.59"/>
    <n v="0.1"/>
    <x v="0"/>
    <x v="0"/>
  </r>
  <r>
    <s v="O0472"/>
    <s v="2024-06-16"/>
    <s v="C091"/>
    <x v="1"/>
    <n v="3514.7"/>
    <n v="2"/>
    <n v="218.26"/>
    <n v="0.05"/>
    <x v="2"/>
    <x v="2"/>
  </r>
  <r>
    <s v="O0473"/>
    <s v="2024-06-02"/>
    <s v="C046"/>
    <x v="0"/>
    <n v="2041.6"/>
    <n v="3"/>
    <n v="132.06"/>
    <n v="0"/>
    <x v="3"/>
    <x v="0"/>
  </r>
  <r>
    <s v="O0474"/>
    <s v="2024-10-08"/>
    <s v="C052"/>
    <x v="1"/>
    <n v="4287.55"/>
    <n v="2"/>
    <n v="929.48"/>
    <n v="0.15"/>
    <x v="2"/>
    <x v="2"/>
  </r>
  <r>
    <s v="O0475"/>
    <s v="2024-01-07"/>
    <s v="C014"/>
    <x v="1"/>
    <n v="4039.09"/>
    <n v="4"/>
    <n v="371.35"/>
    <n v="0.05"/>
    <x v="2"/>
    <x v="2"/>
  </r>
  <r>
    <s v="O0476"/>
    <s v="2024-11-18"/>
    <s v="C026"/>
    <x v="2"/>
    <n v="4136"/>
    <n v="2"/>
    <n v="668.68"/>
    <n v="0.2"/>
    <x v="3"/>
    <x v="2"/>
  </r>
  <r>
    <s v="O0477"/>
    <s v="2024-01-12"/>
    <s v="C076"/>
    <x v="1"/>
    <n v="1368.22"/>
    <n v="4"/>
    <n v="402.02"/>
    <n v="0.15"/>
    <x v="3"/>
    <x v="2"/>
  </r>
  <r>
    <s v="O0478"/>
    <s v="2024-06-18"/>
    <s v="C017"/>
    <x v="1"/>
    <n v="550.70000000000005"/>
    <n v="1"/>
    <n v="167.51"/>
    <n v="0.15"/>
    <x v="2"/>
    <x v="1"/>
  </r>
  <r>
    <s v="O0479"/>
    <s v="2024-07-21"/>
    <s v="C007"/>
    <x v="0"/>
    <n v="923.15"/>
    <n v="1"/>
    <n v="205.09"/>
    <n v="0.15"/>
    <x v="0"/>
    <x v="0"/>
  </r>
  <r>
    <s v="O0480"/>
    <s v="2024-04-05"/>
    <s v="C088"/>
    <x v="0"/>
    <n v="2190.65"/>
    <n v="5"/>
    <n v="342.14"/>
    <n v="0.15"/>
    <x v="1"/>
    <x v="2"/>
  </r>
  <r>
    <s v="O0481"/>
    <s v="2024-05-05"/>
    <s v="C020"/>
    <x v="2"/>
    <n v="269.77999999999997"/>
    <n v="5"/>
    <n v="63.6"/>
    <n v="0.15"/>
    <x v="3"/>
    <x v="1"/>
  </r>
  <r>
    <s v="O0482"/>
    <s v="2024-02-14"/>
    <s v="C053"/>
    <x v="0"/>
    <n v="4425.62"/>
    <n v="7"/>
    <n v="857.28"/>
    <n v="0.05"/>
    <x v="3"/>
    <x v="2"/>
  </r>
  <r>
    <s v="O0483"/>
    <s v="2024-09-26"/>
    <s v="C054"/>
    <x v="1"/>
    <n v="1077.3399999999999"/>
    <n v="9"/>
    <n v="339.79"/>
    <n v="0"/>
    <x v="1"/>
    <x v="2"/>
  </r>
  <r>
    <s v="O0484"/>
    <s v="2024-10-05"/>
    <s v="C049"/>
    <x v="0"/>
    <n v="3931.39"/>
    <n v="6"/>
    <n v="620.11"/>
    <n v="0.2"/>
    <x v="1"/>
    <x v="1"/>
  </r>
  <r>
    <s v="O0485"/>
    <s v="2024-01-14"/>
    <s v="C065"/>
    <x v="0"/>
    <n v="1675.86"/>
    <n v="10"/>
    <n v="219.76"/>
    <n v="0.05"/>
    <x v="3"/>
    <x v="2"/>
  </r>
  <r>
    <s v="O0486"/>
    <s v="2024-01-30"/>
    <s v="C004"/>
    <x v="0"/>
    <n v="4489.25"/>
    <n v="9"/>
    <n v="1272.98"/>
    <n v="0.1"/>
    <x v="0"/>
    <x v="2"/>
  </r>
  <r>
    <s v="O0487"/>
    <s v="2024-03-22"/>
    <s v="C099"/>
    <x v="1"/>
    <n v="2961.55"/>
    <n v="4"/>
    <n v="354.88"/>
    <n v="0.05"/>
    <x v="2"/>
    <x v="0"/>
  </r>
  <r>
    <s v="O0488"/>
    <s v="2024-01-29"/>
    <s v="C035"/>
    <x v="1"/>
    <n v="2715.08"/>
    <n v="10"/>
    <n v="780.24"/>
    <n v="0.15"/>
    <x v="2"/>
    <x v="2"/>
  </r>
  <r>
    <s v="O0489"/>
    <s v="2024-03-29"/>
    <s v="C046"/>
    <x v="1"/>
    <n v="4682.51"/>
    <n v="4"/>
    <n v="1627"/>
    <n v="0.2"/>
    <x v="3"/>
    <x v="0"/>
  </r>
  <r>
    <s v="O0490"/>
    <s v="2024-10-29"/>
    <s v="C041"/>
    <x v="1"/>
    <n v="4050.43"/>
    <n v="6"/>
    <n v="1050.23"/>
    <n v="0.2"/>
    <x v="3"/>
    <x v="2"/>
  </r>
  <r>
    <s v="O0491"/>
    <s v="2024-09-09"/>
    <s v="C073"/>
    <x v="2"/>
    <n v="796.3"/>
    <n v="5"/>
    <n v="266.37"/>
    <n v="0.05"/>
    <x v="3"/>
    <x v="2"/>
  </r>
  <r>
    <s v="O0492"/>
    <s v="2024-11-04"/>
    <s v="C063"/>
    <x v="1"/>
    <n v="286.02"/>
    <n v="1"/>
    <n v="19.12"/>
    <n v="0.2"/>
    <x v="1"/>
    <x v="2"/>
  </r>
  <r>
    <s v="O0493"/>
    <s v="2024-04-13"/>
    <s v="C062"/>
    <x v="1"/>
    <n v="103.35"/>
    <n v="6"/>
    <n v="33.630000000000003"/>
    <n v="0.05"/>
    <x v="0"/>
    <x v="1"/>
  </r>
  <r>
    <s v="O0494"/>
    <s v="2024-12-26"/>
    <s v="C042"/>
    <x v="1"/>
    <n v="391.82"/>
    <n v="2"/>
    <n v="36.950000000000003"/>
    <n v="0.2"/>
    <x v="2"/>
    <x v="2"/>
  </r>
  <r>
    <s v="O0495"/>
    <s v="2024-12-05"/>
    <s v="C047"/>
    <x v="0"/>
    <n v="4806.74"/>
    <n v="10"/>
    <n v="779.06"/>
    <n v="0"/>
    <x v="2"/>
    <x v="2"/>
  </r>
  <r>
    <s v="O0496"/>
    <s v="2024-03-21"/>
    <s v="C044"/>
    <x v="2"/>
    <n v="1578.65"/>
    <n v="7"/>
    <n v="143.56"/>
    <n v="0.15"/>
    <x v="2"/>
    <x v="0"/>
  </r>
  <r>
    <s v="O0497"/>
    <s v="2024-10-14"/>
    <s v="C084"/>
    <x v="2"/>
    <n v="1654.69"/>
    <n v="10"/>
    <n v="433.79"/>
    <n v="0.1"/>
    <x v="2"/>
    <x v="2"/>
  </r>
  <r>
    <s v="O0498"/>
    <s v="2024-07-12"/>
    <s v="C029"/>
    <x v="0"/>
    <n v="3361.11"/>
    <n v="5"/>
    <n v="989.3"/>
    <n v="0.05"/>
    <x v="2"/>
    <x v="1"/>
  </r>
  <r>
    <s v="O0499"/>
    <s v="2024-10-20"/>
    <s v="C023"/>
    <x v="0"/>
    <n v="3671.27"/>
    <n v="10"/>
    <n v="1228.54"/>
    <n v="0"/>
    <x v="0"/>
    <x v="1"/>
  </r>
  <r>
    <s v="O0500"/>
    <s v="2024-11-09"/>
    <s v="C024"/>
    <x v="1"/>
    <n v="3051.7"/>
    <n v="10"/>
    <n v="995.8"/>
    <n v="0"/>
    <x v="0"/>
    <x v="2"/>
  </r>
  <r>
    <s v="O0501"/>
    <s v="2024-05-01"/>
    <s v="C064"/>
    <x v="0"/>
    <n v="789.15"/>
    <n v="6"/>
    <n v="215.91"/>
    <n v="0.05"/>
    <x v="1"/>
    <x v="2"/>
  </r>
  <r>
    <s v="O0502"/>
    <s v="2024-12-28"/>
    <s v="C082"/>
    <x v="2"/>
    <n v="4438.07"/>
    <n v="6"/>
    <n v="340.04"/>
    <n v="0.15"/>
    <x v="3"/>
    <x v="1"/>
  </r>
  <r>
    <s v="O0503"/>
    <s v="2024-02-04"/>
    <s v="C002"/>
    <x v="0"/>
    <n v="1399.54"/>
    <n v="5"/>
    <n v="174.75"/>
    <n v="0"/>
    <x v="3"/>
    <x v="0"/>
  </r>
  <r>
    <s v="O0504"/>
    <s v="2024-08-02"/>
    <s v="C093"/>
    <x v="1"/>
    <n v="106.28"/>
    <n v="7"/>
    <n v="17.62"/>
    <n v="0.15"/>
    <x v="3"/>
    <x v="1"/>
  </r>
  <r>
    <s v="O0505"/>
    <s v="2024-09-02"/>
    <s v="C049"/>
    <x v="2"/>
    <n v="1821.03"/>
    <n v="4"/>
    <n v="296.11"/>
    <n v="0.05"/>
    <x v="1"/>
    <x v="1"/>
  </r>
  <r>
    <s v="O0506"/>
    <s v="2024-05-30"/>
    <s v="C058"/>
    <x v="1"/>
    <n v="461.18"/>
    <n v="6"/>
    <n v="140.07"/>
    <n v="0.1"/>
    <x v="0"/>
    <x v="0"/>
  </r>
  <r>
    <s v="O0507"/>
    <s v="2024-07-11"/>
    <s v="C014"/>
    <x v="1"/>
    <n v="463.58"/>
    <n v="2"/>
    <n v="46.84"/>
    <n v="0.2"/>
    <x v="2"/>
    <x v="2"/>
  </r>
  <r>
    <s v="O0508"/>
    <s v="2024-09-04"/>
    <s v="C012"/>
    <x v="2"/>
    <n v="1755.96"/>
    <n v="1"/>
    <n v="606.83000000000004"/>
    <n v="0.15"/>
    <x v="1"/>
    <x v="2"/>
  </r>
  <r>
    <s v="O0509"/>
    <s v="2024-03-21"/>
    <s v="C084"/>
    <x v="1"/>
    <n v="908.49"/>
    <n v="2"/>
    <n v="287.92"/>
    <n v="0.1"/>
    <x v="2"/>
    <x v="2"/>
  </r>
  <r>
    <s v="O0510"/>
    <s v="2024-10-10"/>
    <s v="C027"/>
    <x v="2"/>
    <n v="4874.55"/>
    <n v="9"/>
    <n v="842.24"/>
    <n v="0.1"/>
    <x v="2"/>
    <x v="2"/>
  </r>
  <r>
    <s v="O0511"/>
    <s v="2024-01-26"/>
    <s v="C085"/>
    <x v="0"/>
    <n v="1479.46"/>
    <n v="10"/>
    <n v="179.41"/>
    <n v="0.2"/>
    <x v="0"/>
    <x v="0"/>
  </r>
  <r>
    <s v="O0512"/>
    <s v="2024-08-06"/>
    <s v="C063"/>
    <x v="1"/>
    <n v="852.59"/>
    <n v="5"/>
    <n v="134.91999999999999"/>
    <n v="0.2"/>
    <x v="1"/>
    <x v="2"/>
  </r>
  <r>
    <s v="O0513"/>
    <s v="2024-03-28"/>
    <s v="C062"/>
    <x v="2"/>
    <n v="1078.4100000000001"/>
    <n v="5"/>
    <n v="62.25"/>
    <n v="0"/>
    <x v="0"/>
    <x v="1"/>
  </r>
  <r>
    <s v="O0514"/>
    <s v="2024-07-22"/>
    <s v="C061"/>
    <x v="0"/>
    <n v="4234.47"/>
    <n v="8"/>
    <n v="603.44000000000005"/>
    <n v="0.1"/>
    <x v="1"/>
    <x v="2"/>
  </r>
  <r>
    <s v="O0515"/>
    <s v="2024-07-08"/>
    <s v="C012"/>
    <x v="0"/>
    <n v="3245.15"/>
    <n v="6"/>
    <n v="539.53"/>
    <n v="0.05"/>
    <x v="1"/>
    <x v="2"/>
  </r>
  <r>
    <s v="O0516"/>
    <s v="2024-05-14"/>
    <s v="C058"/>
    <x v="1"/>
    <n v="318.62"/>
    <n v="5"/>
    <n v="57.96"/>
    <n v="0.2"/>
    <x v="0"/>
    <x v="0"/>
  </r>
  <r>
    <s v="O0517"/>
    <s v="2024-02-19"/>
    <s v="C008"/>
    <x v="1"/>
    <n v="840.54"/>
    <n v="6"/>
    <n v="217.65"/>
    <n v="0.2"/>
    <x v="2"/>
    <x v="0"/>
  </r>
  <r>
    <s v="O0518"/>
    <s v="2024-10-10"/>
    <s v="C053"/>
    <x v="1"/>
    <n v="4856.46"/>
    <n v="7"/>
    <n v="1102.02"/>
    <n v="0.2"/>
    <x v="3"/>
    <x v="2"/>
  </r>
  <r>
    <s v="O0519"/>
    <s v="2024-08-31"/>
    <s v="C054"/>
    <x v="2"/>
    <n v="4831.58"/>
    <n v="4"/>
    <n v="1237.47"/>
    <n v="0.15"/>
    <x v="1"/>
    <x v="2"/>
  </r>
  <r>
    <s v="O0520"/>
    <s v="2024-01-18"/>
    <s v="C039"/>
    <x v="2"/>
    <n v="486.88"/>
    <n v="10"/>
    <n v="156.21"/>
    <n v="0.2"/>
    <x v="2"/>
    <x v="0"/>
  </r>
  <r>
    <s v="O0521"/>
    <s v="2024-03-02"/>
    <s v="C074"/>
    <x v="0"/>
    <n v="3419.92"/>
    <n v="3"/>
    <n v="807.38"/>
    <n v="0.05"/>
    <x v="2"/>
    <x v="2"/>
  </r>
  <r>
    <s v="O0522"/>
    <s v="2024-08-04"/>
    <s v="C028"/>
    <x v="1"/>
    <n v="4061.46"/>
    <n v="7"/>
    <n v="356.82"/>
    <n v="0.05"/>
    <x v="0"/>
    <x v="0"/>
  </r>
  <r>
    <s v="O0523"/>
    <s v="2024-06-12"/>
    <s v="C081"/>
    <x v="2"/>
    <n v="824.6"/>
    <n v="2"/>
    <n v="188.43"/>
    <n v="0"/>
    <x v="0"/>
    <x v="0"/>
  </r>
  <r>
    <s v="O0524"/>
    <s v="2024-05-21"/>
    <s v="C050"/>
    <x v="2"/>
    <n v="2826.18"/>
    <n v="8"/>
    <n v="609.37"/>
    <n v="0"/>
    <x v="1"/>
    <x v="0"/>
  </r>
  <r>
    <s v="O0525"/>
    <s v="2024-08-02"/>
    <s v="C090"/>
    <x v="1"/>
    <n v="3152.98"/>
    <n v="7"/>
    <n v="651.94000000000005"/>
    <n v="0.05"/>
    <x v="1"/>
    <x v="0"/>
  </r>
  <r>
    <s v="O0526"/>
    <s v="2024-02-21"/>
    <s v="C019"/>
    <x v="1"/>
    <n v="2876.31"/>
    <n v="10"/>
    <n v="646.6"/>
    <n v="0"/>
    <x v="1"/>
    <x v="0"/>
  </r>
  <r>
    <s v="O0527"/>
    <s v="2024-07-29"/>
    <s v="C037"/>
    <x v="0"/>
    <n v="4350.63"/>
    <n v="7"/>
    <n v="1366.28"/>
    <n v="0.15"/>
    <x v="0"/>
    <x v="2"/>
  </r>
  <r>
    <s v="O0528"/>
    <s v="2024-05-21"/>
    <s v="C074"/>
    <x v="0"/>
    <n v="3083.91"/>
    <n v="3"/>
    <n v="188.86"/>
    <n v="0.2"/>
    <x v="2"/>
    <x v="2"/>
  </r>
  <r>
    <s v="O0529"/>
    <s v="2024-07-21"/>
    <s v="C078"/>
    <x v="0"/>
    <n v="3435.98"/>
    <n v="4"/>
    <n v="585.89"/>
    <n v="0"/>
    <x v="3"/>
    <x v="0"/>
  </r>
  <r>
    <s v="O0530"/>
    <s v="2024-07-09"/>
    <s v="C096"/>
    <x v="1"/>
    <n v="2428.5700000000002"/>
    <n v="6"/>
    <n v="317.11"/>
    <n v="0.1"/>
    <x v="0"/>
    <x v="1"/>
  </r>
  <r>
    <s v="O0531"/>
    <s v="2024-12-22"/>
    <s v="C040"/>
    <x v="2"/>
    <n v="1473.7"/>
    <n v="2"/>
    <n v="291.02999999999997"/>
    <n v="0.05"/>
    <x v="1"/>
    <x v="1"/>
  </r>
  <r>
    <s v="O0532"/>
    <s v="2024-06-13"/>
    <s v="C018"/>
    <x v="0"/>
    <n v="1572.35"/>
    <n v="7"/>
    <n v="429.44"/>
    <n v="0.2"/>
    <x v="0"/>
    <x v="0"/>
  </r>
  <r>
    <s v="O0533"/>
    <s v="2024-07-27"/>
    <s v="C083"/>
    <x v="2"/>
    <n v="537.51"/>
    <n v="8"/>
    <n v="98.1"/>
    <n v="0.2"/>
    <x v="2"/>
    <x v="0"/>
  </r>
  <r>
    <s v="O0534"/>
    <s v="2024-03-22"/>
    <s v="C048"/>
    <x v="1"/>
    <n v="4122.99"/>
    <n v="5"/>
    <n v="843.49"/>
    <n v="0.2"/>
    <x v="3"/>
    <x v="0"/>
  </r>
  <r>
    <s v="O0535"/>
    <s v="2024-10-18"/>
    <s v="C052"/>
    <x v="1"/>
    <n v="764.68"/>
    <n v="3"/>
    <n v="233.52"/>
    <n v="0.05"/>
    <x v="2"/>
    <x v="2"/>
  </r>
  <r>
    <s v="O0536"/>
    <s v="2024-08-21"/>
    <s v="C026"/>
    <x v="1"/>
    <n v="4201.1899999999996"/>
    <n v="6"/>
    <n v="524.51"/>
    <n v="0.05"/>
    <x v="3"/>
    <x v="2"/>
  </r>
  <r>
    <s v="O0537"/>
    <s v="2024-07-22"/>
    <s v="C036"/>
    <x v="2"/>
    <n v="1904.92"/>
    <n v="2"/>
    <n v="360.54"/>
    <n v="0"/>
    <x v="3"/>
    <x v="2"/>
  </r>
  <r>
    <s v="O0538"/>
    <s v="2024-03-31"/>
    <s v="C031"/>
    <x v="0"/>
    <n v="1925.09"/>
    <n v="10"/>
    <n v="439.33"/>
    <n v="0.2"/>
    <x v="0"/>
    <x v="1"/>
  </r>
  <r>
    <s v="O0539"/>
    <s v="2024-05-12"/>
    <s v="C045"/>
    <x v="2"/>
    <n v="1786.82"/>
    <n v="2"/>
    <n v="538.36"/>
    <n v="0.1"/>
    <x v="3"/>
    <x v="1"/>
  </r>
  <r>
    <s v="O0540"/>
    <s v="2024-10-19"/>
    <s v="C004"/>
    <x v="1"/>
    <n v="1994.17"/>
    <n v="4"/>
    <n v="197.17"/>
    <n v="0.05"/>
    <x v="0"/>
    <x v="2"/>
  </r>
  <r>
    <s v="O0541"/>
    <s v="2024-09-19"/>
    <s v="C087"/>
    <x v="1"/>
    <n v="1112.98"/>
    <n v="1"/>
    <n v="273.20999999999998"/>
    <n v="0.15"/>
    <x v="2"/>
    <x v="0"/>
  </r>
  <r>
    <s v="O0542"/>
    <s v="2024-01-05"/>
    <s v="C017"/>
    <x v="1"/>
    <n v="3272.12"/>
    <n v="5"/>
    <n v="753.71"/>
    <n v="0.2"/>
    <x v="2"/>
    <x v="1"/>
  </r>
  <r>
    <s v="O0543"/>
    <s v="2024-05-20"/>
    <s v="C040"/>
    <x v="0"/>
    <n v="3592.43"/>
    <n v="7"/>
    <n v="944.13"/>
    <n v="0.1"/>
    <x v="1"/>
    <x v="1"/>
  </r>
  <r>
    <s v="O0544"/>
    <s v="2024-12-12"/>
    <s v="C059"/>
    <x v="2"/>
    <n v="1334.79"/>
    <n v="10"/>
    <n v="253.62"/>
    <n v="0.15"/>
    <x v="2"/>
    <x v="2"/>
  </r>
  <r>
    <s v="O0545"/>
    <s v="2024-12-05"/>
    <s v="C075"/>
    <x v="0"/>
    <n v="601.33000000000004"/>
    <n v="9"/>
    <n v="122.34"/>
    <n v="0.2"/>
    <x v="0"/>
    <x v="2"/>
  </r>
  <r>
    <s v="O0546"/>
    <s v="2024-09-03"/>
    <s v="C078"/>
    <x v="1"/>
    <n v="1485.12"/>
    <n v="6"/>
    <n v="379.19"/>
    <n v="0.1"/>
    <x v="3"/>
    <x v="0"/>
  </r>
  <r>
    <s v="O0547"/>
    <s v="2024-12-01"/>
    <s v="C082"/>
    <x v="2"/>
    <n v="1693.17"/>
    <n v="5"/>
    <n v="225.3"/>
    <n v="0.05"/>
    <x v="3"/>
    <x v="1"/>
  </r>
  <r>
    <s v="O0548"/>
    <s v="2024-01-30"/>
    <s v="C020"/>
    <x v="2"/>
    <n v="2634.74"/>
    <n v="7"/>
    <n v="321.68"/>
    <n v="0.1"/>
    <x v="3"/>
    <x v="1"/>
  </r>
  <r>
    <s v="O0549"/>
    <s v="2024-09-11"/>
    <s v="C088"/>
    <x v="0"/>
    <n v="785.65"/>
    <n v="5"/>
    <n v="45.28"/>
    <n v="0.15"/>
    <x v="1"/>
    <x v="2"/>
  </r>
  <r>
    <s v="O0550"/>
    <s v="2024-12-28"/>
    <s v="C052"/>
    <x v="2"/>
    <n v="2002.55"/>
    <n v="4"/>
    <n v="121.35"/>
    <n v="0.1"/>
    <x v="2"/>
    <x v="2"/>
  </r>
  <r>
    <s v="O0551"/>
    <s v="2024-11-22"/>
    <s v="C093"/>
    <x v="0"/>
    <n v="3595.51"/>
    <n v="6"/>
    <n v="920.07"/>
    <n v="0.2"/>
    <x v="3"/>
    <x v="1"/>
  </r>
  <r>
    <s v="O0552"/>
    <s v="2024-10-12"/>
    <s v="C039"/>
    <x v="1"/>
    <n v="4242.55"/>
    <n v="5"/>
    <n v="1282.06"/>
    <n v="0"/>
    <x v="2"/>
    <x v="0"/>
  </r>
  <r>
    <s v="O0553"/>
    <s v="2024-10-13"/>
    <s v="C061"/>
    <x v="1"/>
    <n v="726.93"/>
    <n v="6"/>
    <n v="92.75"/>
    <n v="0"/>
    <x v="1"/>
    <x v="2"/>
  </r>
  <r>
    <s v="O0554"/>
    <s v="2024-06-06"/>
    <s v="C029"/>
    <x v="0"/>
    <n v="1840.89"/>
    <n v="6"/>
    <n v="503.05"/>
    <n v="0.1"/>
    <x v="2"/>
    <x v="1"/>
  </r>
  <r>
    <s v="O0555"/>
    <s v="2024-03-01"/>
    <s v="C034"/>
    <x v="0"/>
    <n v="2969.3"/>
    <n v="1"/>
    <n v="561.58000000000004"/>
    <n v="0.2"/>
    <x v="3"/>
    <x v="1"/>
  </r>
  <r>
    <s v="O0556"/>
    <s v="2024-04-09"/>
    <s v="C075"/>
    <x v="2"/>
    <n v="4727.07"/>
    <n v="2"/>
    <n v="337.35"/>
    <n v="0.15"/>
    <x v="0"/>
    <x v="2"/>
  </r>
  <r>
    <s v="O0557"/>
    <s v="2024-03-18"/>
    <s v="C068"/>
    <x v="1"/>
    <n v="1561.94"/>
    <n v="4"/>
    <n v="103.43"/>
    <n v="0.1"/>
    <x v="3"/>
    <x v="2"/>
  </r>
  <r>
    <s v="O0558"/>
    <s v="2024-08-22"/>
    <s v="C053"/>
    <x v="1"/>
    <n v="4937.24"/>
    <n v="6"/>
    <n v="1569.32"/>
    <n v="0.05"/>
    <x v="3"/>
    <x v="2"/>
  </r>
  <r>
    <s v="O0559"/>
    <s v="2024-03-31"/>
    <s v="C100"/>
    <x v="0"/>
    <n v="495.98"/>
    <n v="1"/>
    <n v="74.290000000000006"/>
    <n v="0"/>
    <x v="0"/>
    <x v="2"/>
  </r>
  <r>
    <s v="O0560"/>
    <s v="2024-03-27"/>
    <s v="C058"/>
    <x v="2"/>
    <n v="1440.29"/>
    <n v="3"/>
    <n v="400.92"/>
    <n v="0.15"/>
    <x v="0"/>
    <x v="0"/>
  </r>
  <r>
    <s v="O0561"/>
    <s v="2024-08-10"/>
    <s v="C098"/>
    <x v="2"/>
    <n v="3920.79"/>
    <n v="7"/>
    <n v="348.25"/>
    <n v="0.15"/>
    <x v="2"/>
    <x v="2"/>
  </r>
  <r>
    <s v="O0562"/>
    <s v="2024-01-20"/>
    <s v="C055"/>
    <x v="2"/>
    <n v="4830.1099999999997"/>
    <n v="4"/>
    <n v="796.94"/>
    <n v="0.1"/>
    <x v="1"/>
    <x v="1"/>
  </r>
  <r>
    <s v="O0563"/>
    <s v="2024-09-28"/>
    <s v="C002"/>
    <x v="1"/>
    <n v="4470.83"/>
    <n v="1"/>
    <n v="1238.6600000000001"/>
    <n v="0"/>
    <x v="3"/>
    <x v="0"/>
  </r>
  <r>
    <s v="O0564"/>
    <s v="2024-06-25"/>
    <s v="C081"/>
    <x v="0"/>
    <n v="3694.66"/>
    <n v="3"/>
    <n v="435.53"/>
    <n v="0"/>
    <x v="0"/>
    <x v="0"/>
  </r>
  <r>
    <s v="O0565"/>
    <s v="2024-02-03"/>
    <s v="C050"/>
    <x v="1"/>
    <n v="2566.35"/>
    <n v="5"/>
    <n v="364"/>
    <n v="0.1"/>
    <x v="1"/>
    <x v="0"/>
  </r>
  <r>
    <s v="O0566"/>
    <s v="2024-06-21"/>
    <s v="C059"/>
    <x v="0"/>
    <n v="3666.38"/>
    <n v="3"/>
    <n v="839.27"/>
    <n v="0.1"/>
    <x v="2"/>
    <x v="2"/>
  </r>
  <r>
    <s v="O0567"/>
    <s v="2024-07-25"/>
    <s v="C063"/>
    <x v="1"/>
    <n v="1860.33"/>
    <n v="4"/>
    <n v="198.18"/>
    <n v="0.05"/>
    <x v="1"/>
    <x v="2"/>
  </r>
  <r>
    <s v="O0568"/>
    <s v="2024-01-12"/>
    <s v="C094"/>
    <x v="2"/>
    <n v="4925.91"/>
    <n v="9"/>
    <n v="558.39"/>
    <n v="0.05"/>
    <x v="1"/>
    <x v="0"/>
  </r>
  <r>
    <s v="O0569"/>
    <s v="2024-01-20"/>
    <s v="C016"/>
    <x v="0"/>
    <n v="1896.3"/>
    <n v="5"/>
    <n v="464.9"/>
    <n v="0.2"/>
    <x v="3"/>
    <x v="0"/>
  </r>
  <r>
    <s v="O0570"/>
    <s v="2024-12-04"/>
    <s v="C080"/>
    <x v="1"/>
    <n v="338.08"/>
    <n v="1"/>
    <n v="117.79"/>
    <n v="0"/>
    <x v="3"/>
    <x v="1"/>
  </r>
  <r>
    <s v="O0571"/>
    <s v="2024-03-04"/>
    <s v="C089"/>
    <x v="2"/>
    <n v="667.37"/>
    <n v="5"/>
    <n v="122.33"/>
    <n v="0.15"/>
    <x v="2"/>
    <x v="1"/>
  </r>
  <r>
    <s v="O0572"/>
    <s v="2024-11-18"/>
    <s v="C090"/>
    <x v="1"/>
    <n v="850.32"/>
    <n v="5"/>
    <n v="219.86"/>
    <n v="0.15"/>
    <x v="1"/>
    <x v="0"/>
  </r>
  <r>
    <s v="O0573"/>
    <s v="2024-11-14"/>
    <s v="C085"/>
    <x v="2"/>
    <n v="594.79999999999995"/>
    <n v="3"/>
    <n v="122.58"/>
    <n v="0.15"/>
    <x v="0"/>
    <x v="0"/>
  </r>
  <r>
    <s v="O0574"/>
    <s v="2024-05-24"/>
    <s v="C014"/>
    <x v="1"/>
    <n v="2606.77"/>
    <n v="2"/>
    <n v="613.4"/>
    <n v="0.15"/>
    <x v="2"/>
    <x v="2"/>
  </r>
  <r>
    <s v="O0575"/>
    <s v="2024-09-24"/>
    <s v="C026"/>
    <x v="1"/>
    <n v="3084.11"/>
    <n v="6"/>
    <n v="874"/>
    <n v="0.15"/>
    <x v="3"/>
    <x v="2"/>
  </r>
  <r>
    <s v="O0576"/>
    <s v="2024-04-16"/>
    <s v="C038"/>
    <x v="2"/>
    <n v="885.83"/>
    <n v="8"/>
    <n v="189.96"/>
    <n v="0.1"/>
    <x v="2"/>
    <x v="2"/>
  </r>
  <r>
    <s v="O0577"/>
    <s v="2024-02-26"/>
    <s v="C031"/>
    <x v="2"/>
    <n v="113.42"/>
    <n v="8"/>
    <n v="28.52"/>
    <n v="0.05"/>
    <x v="0"/>
    <x v="1"/>
  </r>
  <r>
    <s v="O0578"/>
    <s v="2024-02-21"/>
    <s v="C012"/>
    <x v="0"/>
    <n v="3919.68"/>
    <n v="4"/>
    <n v="284.23"/>
    <n v="0.15"/>
    <x v="1"/>
    <x v="2"/>
  </r>
  <r>
    <s v="O0579"/>
    <s v="2024-03-30"/>
    <s v="C038"/>
    <x v="1"/>
    <n v="1394.21"/>
    <n v="5"/>
    <n v="90.66"/>
    <n v="0.1"/>
    <x v="2"/>
    <x v="2"/>
  </r>
  <r>
    <s v="O0580"/>
    <s v="2024-02-18"/>
    <s v="C087"/>
    <x v="1"/>
    <n v="1632.26"/>
    <n v="1"/>
    <n v="443.26"/>
    <n v="0.05"/>
    <x v="2"/>
    <x v="0"/>
  </r>
  <r>
    <s v="O0581"/>
    <s v="2024-08-12"/>
    <s v="C085"/>
    <x v="2"/>
    <n v="3271.27"/>
    <n v="5"/>
    <n v="486.1"/>
    <n v="0"/>
    <x v="0"/>
    <x v="0"/>
  </r>
  <r>
    <s v="O0582"/>
    <s v="2024-07-24"/>
    <s v="C048"/>
    <x v="0"/>
    <n v="4093.33"/>
    <n v="8"/>
    <n v="429.23"/>
    <n v="0.1"/>
    <x v="3"/>
    <x v="0"/>
  </r>
  <r>
    <s v="O0583"/>
    <s v="2024-08-03"/>
    <s v="C050"/>
    <x v="2"/>
    <n v="3480.52"/>
    <n v="3"/>
    <n v="673.39"/>
    <n v="0"/>
    <x v="1"/>
    <x v="0"/>
  </r>
  <r>
    <s v="O0584"/>
    <s v="2024-03-22"/>
    <s v="C017"/>
    <x v="1"/>
    <n v="3511.23"/>
    <n v="7"/>
    <n v="237.34"/>
    <n v="0.2"/>
    <x v="2"/>
    <x v="1"/>
  </r>
  <r>
    <s v="O0585"/>
    <s v="2024-04-02"/>
    <s v="C062"/>
    <x v="2"/>
    <n v="4031.1"/>
    <n v="7"/>
    <n v="1021.96"/>
    <n v="0.1"/>
    <x v="0"/>
    <x v="1"/>
  </r>
  <r>
    <s v="O0586"/>
    <s v="2024-03-07"/>
    <s v="C079"/>
    <x v="0"/>
    <n v="241.2"/>
    <n v="8"/>
    <n v="61.59"/>
    <n v="0"/>
    <x v="0"/>
    <x v="2"/>
  </r>
  <r>
    <s v="O0587"/>
    <s v="2024-12-01"/>
    <s v="C053"/>
    <x v="0"/>
    <n v="2259.37"/>
    <n v="1"/>
    <n v="155.9"/>
    <n v="0.2"/>
    <x v="3"/>
    <x v="2"/>
  </r>
  <r>
    <s v="O0588"/>
    <s v="2024-04-24"/>
    <s v="C099"/>
    <x v="2"/>
    <n v="3743.76"/>
    <n v="6"/>
    <n v="1000.08"/>
    <n v="0.2"/>
    <x v="2"/>
    <x v="0"/>
  </r>
  <r>
    <s v="O0589"/>
    <s v="2024-08-09"/>
    <s v="C067"/>
    <x v="2"/>
    <n v="3472.38"/>
    <n v="4"/>
    <n v="817.65"/>
    <n v="0.15"/>
    <x v="0"/>
    <x v="2"/>
  </r>
  <r>
    <s v="O0590"/>
    <s v="2024-03-17"/>
    <s v="C045"/>
    <x v="2"/>
    <n v="3352.18"/>
    <n v="10"/>
    <n v="812.64"/>
    <n v="0"/>
    <x v="3"/>
    <x v="1"/>
  </r>
  <r>
    <s v="O0591"/>
    <s v="2024-08-28"/>
    <s v="C002"/>
    <x v="0"/>
    <n v="3252.65"/>
    <n v="3"/>
    <n v="315.76"/>
    <n v="0"/>
    <x v="3"/>
    <x v="0"/>
  </r>
  <r>
    <s v="O0592"/>
    <s v="2024-05-22"/>
    <s v="C097"/>
    <x v="1"/>
    <n v="2509.08"/>
    <n v="9"/>
    <n v="306.77999999999997"/>
    <n v="0.05"/>
    <x v="0"/>
    <x v="2"/>
  </r>
  <r>
    <s v="O0593"/>
    <s v="2024-04-30"/>
    <s v="C071"/>
    <x v="1"/>
    <n v="3252.25"/>
    <n v="8"/>
    <n v="556.08000000000004"/>
    <n v="0.15"/>
    <x v="2"/>
    <x v="1"/>
  </r>
  <r>
    <s v="O0594"/>
    <s v="2024-08-16"/>
    <s v="C074"/>
    <x v="0"/>
    <n v="2295.6799999999998"/>
    <n v="2"/>
    <n v="704.72"/>
    <n v="0.15"/>
    <x v="2"/>
    <x v="2"/>
  </r>
  <r>
    <s v="O0595"/>
    <s v="2024-07-30"/>
    <s v="C096"/>
    <x v="1"/>
    <n v="3301.53"/>
    <n v="9"/>
    <n v="266.74"/>
    <n v="0.2"/>
    <x v="0"/>
    <x v="1"/>
  </r>
  <r>
    <s v="O0596"/>
    <s v="2024-11-12"/>
    <s v="C001"/>
    <x v="2"/>
    <n v="4146.95"/>
    <n v="5"/>
    <n v="1192.3900000000001"/>
    <n v="0.2"/>
    <x v="0"/>
    <x v="0"/>
  </r>
  <r>
    <s v="O0597"/>
    <s v="2024-06-23"/>
    <s v="C072"/>
    <x v="0"/>
    <n v="1113.57"/>
    <n v="1"/>
    <n v="280"/>
    <n v="0.05"/>
    <x v="0"/>
    <x v="2"/>
  </r>
  <r>
    <s v="O0598"/>
    <s v="2024-11-03"/>
    <s v="C059"/>
    <x v="0"/>
    <n v="1726.67"/>
    <n v="6"/>
    <n v="483.86"/>
    <n v="0.15"/>
    <x v="2"/>
    <x v="2"/>
  </r>
  <r>
    <s v="O0599"/>
    <s v="2024-01-02"/>
    <s v="C015"/>
    <x v="0"/>
    <n v="577.44000000000005"/>
    <n v="6"/>
    <n v="143.02000000000001"/>
    <n v="0.1"/>
    <x v="1"/>
    <x v="1"/>
  </r>
  <r>
    <s v="O0600"/>
    <s v="2024-01-24"/>
    <s v="C071"/>
    <x v="1"/>
    <n v="2657.73"/>
    <n v="8"/>
    <n v="692.68"/>
    <n v="0.05"/>
    <x v="2"/>
    <x v="1"/>
  </r>
  <r>
    <s v="O0601"/>
    <s v="2024-05-10"/>
    <s v="C092"/>
    <x v="2"/>
    <n v="3738.3"/>
    <n v="4"/>
    <n v="645.84"/>
    <n v="0.05"/>
    <x v="3"/>
    <x v="1"/>
  </r>
  <r>
    <s v="O0602"/>
    <s v="2024-08-22"/>
    <s v="C016"/>
    <x v="1"/>
    <n v="4658.0600000000004"/>
    <n v="6"/>
    <n v="781.94"/>
    <n v="0"/>
    <x v="3"/>
    <x v="0"/>
  </r>
  <r>
    <s v="O0603"/>
    <s v="2024-12-10"/>
    <s v="C097"/>
    <x v="2"/>
    <n v="2130.9"/>
    <n v="2"/>
    <n v="698.91"/>
    <n v="0.15"/>
    <x v="0"/>
    <x v="2"/>
  </r>
  <r>
    <s v="O0604"/>
    <s v="2024-03-09"/>
    <s v="C059"/>
    <x v="0"/>
    <n v="3326.44"/>
    <n v="1"/>
    <n v="1120.53"/>
    <n v="0.2"/>
    <x v="2"/>
    <x v="2"/>
  </r>
  <r>
    <s v="O0605"/>
    <s v="2024-10-26"/>
    <s v="C095"/>
    <x v="0"/>
    <n v="338"/>
    <n v="9"/>
    <n v="111.74"/>
    <n v="0.05"/>
    <x v="2"/>
    <x v="0"/>
  </r>
  <r>
    <s v="O0606"/>
    <s v="2024-03-06"/>
    <s v="C089"/>
    <x v="1"/>
    <n v="2934.92"/>
    <n v="7"/>
    <n v="789.93"/>
    <n v="0.2"/>
    <x v="2"/>
    <x v="1"/>
  </r>
  <r>
    <s v="O0607"/>
    <s v="2024-07-15"/>
    <s v="C078"/>
    <x v="0"/>
    <n v="4425.21"/>
    <n v="10"/>
    <n v="890.5"/>
    <n v="0.05"/>
    <x v="3"/>
    <x v="0"/>
  </r>
  <r>
    <s v="O0608"/>
    <s v="2024-05-30"/>
    <s v="C036"/>
    <x v="0"/>
    <n v="2049.56"/>
    <n v="3"/>
    <n v="313.29000000000002"/>
    <n v="0.05"/>
    <x v="3"/>
    <x v="2"/>
  </r>
  <r>
    <s v="O0609"/>
    <s v="2024-09-19"/>
    <s v="C053"/>
    <x v="0"/>
    <n v="3052.37"/>
    <n v="9"/>
    <n v="964.34"/>
    <n v="0.1"/>
    <x v="3"/>
    <x v="2"/>
  </r>
  <r>
    <s v="O0610"/>
    <s v="2024-04-21"/>
    <s v="C092"/>
    <x v="1"/>
    <n v="3710.41"/>
    <n v="4"/>
    <n v="801.72"/>
    <n v="0.2"/>
    <x v="3"/>
    <x v="1"/>
  </r>
  <r>
    <s v="O0611"/>
    <s v="2024-12-10"/>
    <s v="C092"/>
    <x v="1"/>
    <n v="1523.84"/>
    <n v="3"/>
    <n v="234.04"/>
    <n v="0.2"/>
    <x v="3"/>
    <x v="1"/>
  </r>
  <r>
    <s v="O0612"/>
    <s v="2024-02-29"/>
    <s v="C070"/>
    <x v="0"/>
    <n v="3502.13"/>
    <n v="9"/>
    <n v="513.80999999999995"/>
    <n v="0.15"/>
    <x v="3"/>
    <x v="1"/>
  </r>
  <r>
    <s v="O0613"/>
    <s v="2024-08-01"/>
    <s v="C075"/>
    <x v="2"/>
    <n v="2896.13"/>
    <n v="9"/>
    <n v="724.46"/>
    <n v="0.1"/>
    <x v="0"/>
    <x v="2"/>
  </r>
  <r>
    <s v="O0614"/>
    <s v="2024-01-13"/>
    <s v="C055"/>
    <x v="0"/>
    <n v="4060.69"/>
    <n v="3"/>
    <n v="839.83"/>
    <n v="0"/>
    <x v="1"/>
    <x v="1"/>
  </r>
  <r>
    <s v="O0615"/>
    <s v="2024-03-23"/>
    <s v="C086"/>
    <x v="0"/>
    <n v="377.36"/>
    <n v="5"/>
    <n v="49.09"/>
    <n v="0.05"/>
    <x v="1"/>
    <x v="0"/>
  </r>
  <r>
    <s v="O0616"/>
    <s v="2024-10-04"/>
    <s v="C008"/>
    <x v="1"/>
    <n v="3483.91"/>
    <n v="6"/>
    <n v="482.67"/>
    <n v="0.15"/>
    <x v="2"/>
    <x v="0"/>
  </r>
  <r>
    <s v="O0617"/>
    <s v="2024-10-14"/>
    <s v="C014"/>
    <x v="1"/>
    <n v="3118.93"/>
    <n v="9"/>
    <n v="788.02"/>
    <n v="0.15"/>
    <x v="2"/>
    <x v="2"/>
  </r>
  <r>
    <s v="O0618"/>
    <s v="2024-12-22"/>
    <s v="C031"/>
    <x v="0"/>
    <n v="2603.52"/>
    <n v="1"/>
    <n v="752.55"/>
    <n v="0.15"/>
    <x v="0"/>
    <x v="1"/>
  </r>
  <r>
    <s v="O0619"/>
    <s v="2024-12-16"/>
    <s v="C050"/>
    <x v="0"/>
    <n v="2141.17"/>
    <n v="9"/>
    <n v="613.29999999999995"/>
    <n v="0"/>
    <x v="1"/>
    <x v="0"/>
  </r>
  <r>
    <s v="O0620"/>
    <s v="2024-08-14"/>
    <s v="C002"/>
    <x v="1"/>
    <n v="3743.98"/>
    <n v="6"/>
    <n v="415.31"/>
    <n v="0.2"/>
    <x v="3"/>
    <x v="0"/>
  </r>
  <r>
    <s v="O0621"/>
    <s v="2024-04-09"/>
    <s v="C070"/>
    <x v="0"/>
    <n v="3718.41"/>
    <n v="8"/>
    <n v="405.09"/>
    <n v="0.05"/>
    <x v="3"/>
    <x v="1"/>
  </r>
  <r>
    <s v="O0622"/>
    <s v="2024-09-20"/>
    <s v="C088"/>
    <x v="1"/>
    <n v="464.9"/>
    <n v="7"/>
    <n v="157.47999999999999"/>
    <n v="0"/>
    <x v="1"/>
    <x v="2"/>
  </r>
  <r>
    <s v="O0623"/>
    <s v="2024-03-23"/>
    <s v="C055"/>
    <x v="2"/>
    <n v="1467.65"/>
    <n v="5"/>
    <n v="189.73"/>
    <n v="0"/>
    <x v="1"/>
    <x v="1"/>
  </r>
  <r>
    <s v="O0624"/>
    <s v="2024-01-21"/>
    <s v="C043"/>
    <x v="1"/>
    <n v="2385.02"/>
    <n v="6"/>
    <n v="790.03"/>
    <n v="0.2"/>
    <x v="3"/>
    <x v="0"/>
  </r>
  <r>
    <s v="O0625"/>
    <s v="2024-12-04"/>
    <s v="C007"/>
    <x v="0"/>
    <n v="3890.94"/>
    <n v="8"/>
    <n v="924.53"/>
    <n v="0.2"/>
    <x v="0"/>
    <x v="0"/>
  </r>
  <r>
    <s v="O0626"/>
    <s v="2024-06-11"/>
    <s v="C071"/>
    <x v="2"/>
    <n v="1854.62"/>
    <n v="4"/>
    <n v="528.96"/>
    <n v="0.05"/>
    <x v="2"/>
    <x v="1"/>
  </r>
  <r>
    <s v="O0627"/>
    <s v="2024-07-31"/>
    <s v="C067"/>
    <x v="2"/>
    <n v="434.06"/>
    <n v="9"/>
    <n v="87.48"/>
    <n v="0.15"/>
    <x v="0"/>
    <x v="2"/>
  </r>
  <r>
    <s v="O0628"/>
    <s v="2024-12-05"/>
    <s v="C012"/>
    <x v="0"/>
    <n v="1812.07"/>
    <n v="6"/>
    <n v="570.84"/>
    <n v="0.1"/>
    <x v="1"/>
    <x v="2"/>
  </r>
  <r>
    <s v="O0629"/>
    <s v="2024-09-28"/>
    <s v="C038"/>
    <x v="0"/>
    <n v="1170.3800000000001"/>
    <n v="9"/>
    <n v="322.79000000000002"/>
    <n v="0"/>
    <x v="2"/>
    <x v="2"/>
  </r>
  <r>
    <s v="O0630"/>
    <s v="2024-11-24"/>
    <s v="C015"/>
    <x v="2"/>
    <n v="3377.8"/>
    <n v="10"/>
    <n v="620.5"/>
    <n v="0.05"/>
    <x v="1"/>
    <x v="1"/>
  </r>
  <r>
    <s v="O0631"/>
    <s v="2024-02-28"/>
    <s v="C006"/>
    <x v="0"/>
    <n v="3444.5"/>
    <n v="5"/>
    <n v="503.87"/>
    <n v="0.2"/>
    <x v="1"/>
    <x v="0"/>
  </r>
  <r>
    <s v="O0632"/>
    <s v="2024-07-10"/>
    <s v="C093"/>
    <x v="2"/>
    <n v="1485.86"/>
    <n v="9"/>
    <n v="480.53"/>
    <n v="0.15"/>
    <x v="3"/>
    <x v="1"/>
  </r>
  <r>
    <s v="O0633"/>
    <s v="2024-04-08"/>
    <s v="C063"/>
    <x v="0"/>
    <n v="314.87"/>
    <n v="9"/>
    <n v="100.6"/>
    <n v="0"/>
    <x v="1"/>
    <x v="2"/>
  </r>
  <r>
    <s v="O0634"/>
    <s v="2024-10-02"/>
    <s v="C013"/>
    <x v="2"/>
    <n v="920.23"/>
    <n v="1"/>
    <n v="310.01"/>
    <n v="0"/>
    <x v="3"/>
    <x v="0"/>
  </r>
  <r>
    <s v="O0635"/>
    <s v="2024-12-16"/>
    <s v="C027"/>
    <x v="0"/>
    <n v="3384.64"/>
    <n v="2"/>
    <n v="954.72"/>
    <n v="0.05"/>
    <x v="2"/>
    <x v="2"/>
  </r>
  <r>
    <s v="O0636"/>
    <s v="2024-08-10"/>
    <s v="C069"/>
    <x v="2"/>
    <n v="4160.87"/>
    <n v="2"/>
    <n v="1304.81"/>
    <n v="0.05"/>
    <x v="3"/>
    <x v="0"/>
  </r>
  <r>
    <s v="O0637"/>
    <s v="2024-02-14"/>
    <s v="C004"/>
    <x v="1"/>
    <n v="2350.1999999999998"/>
    <n v="1"/>
    <n v="351.39"/>
    <n v="0.05"/>
    <x v="0"/>
    <x v="2"/>
  </r>
  <r>
    <s v="O0638"/>
    <s v="2024-04-26"/>
    <s v="C033"/>
    <x v="0"/>
    <n v="2834.61"/>
    <n v="7"/>
    <n v="630.66999999999996"/>
    <n v="0.15"/>
    <x v="3"/>
    <x v="0"/>
  </r>
  <r>
    <s v="O0639"/>
    <s v="2024-01-09"/>
    <s v="C058"/>
    <x v="0"/>
    <n v="3188.06"/>
    <n v="2"/>
    <n v="573.55999999999995"/>
    <n v="0.2"/>
    <x v="0"/>
    <x v="0"/>
  </r>
  <r>
    <s v="O0640"/>
    <s v="2024-10-26"/>
    <s v="C001"/>
    <x v="1"/>
    <n v="3242.97"/>
    <n v="2"/>
    <n v="763.74"/>
    <n v="0.1"/>
    <x v="0"/>
    <x v="0"/>
  </r>
  <r>
    <s v="O0641"/>
    <s v="2024-06-03"/>
    <s v="C065"/>
    <x v="2"/>
    <n v="620.05999999999995"/>
    <n v="2"/>
    <n v="177.38"/>
    <n v="0.1"/>
    <x v="3"/>
    <x v="2"/>
  </r>
  <r>
    <s v="O0642"/>
    <s v="2024-12-04"/>
    <s v="C098"/>
    <x v="1"/>
    <n v="4640.79"/>
    <n v="8"/>
    <n v="763.06"/>
    <n v="0.05"/>
    <x v="2"/>
    <x v="2"/>
  </r>
  <r>
    <s v="O0643"/>
    <s v="2024-10-06"/>
    <s v="C069"/>
    <x v="0"/>
    <n v="1177.3399999999999"/>
    <n v="3"/>
    <n v="322.62"/>
    <n v="0.1"/>
    <x v="3"/>
    <x v="0"/>
  </r>
  <r>
    <s v="O0644"/>
    <s v="2024-11-27"/>
    <s v="C087"/>
    <x v="0"/>
    <n v="4446.1899999999996"/>
    <n v="1"/>
    <n v="1509.97"/>
    <n v="0.2"/>
    <x v="2"/>
    <x v="0"/>
  </r>
  <r>
    <s v="O0645"/>
    <s v="2024-10-20"/>
    <s v="C072"/>
    <x v="2"/>
    <n v="792.73"/>
    <n v="7"/>
    <n v="49.57"/>
    <n v="0.2"/>
    <x v="0"/>
    <x v="2"/>
  </r>
  <r>
    <s v="O0646"/>
    <s v="2024-06-25"/>
    <s v="C071"/>
    <x v="1"/>
    <n v="4740.2"/>
    <n v="7"/>
    <n v="670.3"/>
    <n v="0.2"/>
    <x v="2"/>
    <x v="1"/>
  </r>
  <r>
    <s v="O0647"/>
    <s v="2024-05-09"/>
    <s v="C019"/>
    <x v="1"/>
    <n v="888.68"/>
    <n v="2"/>
    <n v="103.3"/>
    <n v="0.05"/>
    <x v="1"/>
    <x v="0"/>
  </r>
  <r>
    <s v="O0648"/>
    <s v="2024-10-08"/>
    <s v="C086"/>
    <x v="0"/>
    <n v="4018.33"/>
    <n v="9"/>
    <n v="1228.3"/>
    <n v="0"/>
    <x v="1"/>
    <x v="0"/>
  </r>
  <r>
    <s v="O0649"/>
    <s v="2024-04-11"/>
    <s v="C038"/>
    <x v="2"/>
    <n v="3391.26"/>
    <n v="10"/>
    <n v="424.61"/>
    <n v="0.15"/>
    <x v="2"/>
    <x v="2"/>
  </r>
  <r>
    <s v="O0650"/>
    <s v="2024-04-30"/>
    <s v="C043"/>
    <x v="1"/>
    <n v="1849.98"/>
    <n v="5"/>
    <n v="465.06"/>
    <n v="0.2"/>
    <x v="3"/>
    <x v="0"/>
  </r>
  <r>
    <s v="O0651"/>
    <s v="2024-08-18"/>
    <s v="C009"/>
    <x v="0"/>
    <n v="4510.58"/>
    <n v="10"/>
    <n v="655.55"/>
    <n v="0.1"/>
    <x v="0"/>
    <x v="2"/>
  </r>
  <r>
    <s v="O0652"/>
    <s v="2024-07-05"/>
    <s v="C089"/>
    <x v="0"/>
    <n v="2962.43"/>
    <n v="7"/>
    <n v="650.74"/>
    <n v="0.05"/>
    <x v="2"/>
    <x v="1"/>
  </r>
  <r>
    <s v="O0653"/>
    <s v="2024-12-30"/>
    <s v="C001"/>
    <x v="2"/>
    <n v="1634.75"/>
    <n v="7"/>
    <n v="467.04"/>
    <n v="0.1"/>
    <x v="0"/>
    <x v="0"/>
  </r>
  <r>
    <s v="O0654"/>
    <s v="2024-09-02"/>
    <s v="C047"/>
    <x v="0"/>
    <n v="758.1"/>
    <n v="8"/>
    <n v="204.61"/>
    <n v="0.1"/>
    <x v="2"/>
    <x v="2"/>
  </r>
  <r>
    <s v="O0655"/>
    <s v="2024-03-30"/>
    <s v="C100"/>
    <x v="2"/>
    <n v="1596.81"/>
    <n v="10"/>
    <n v="344.12"/>
    <n v="0"/>
    <x v="0"/>
    <x v="2"/>
  </r>
  <r>
    <s v="O0656"/>
    <s v="2024-10-02"/>
    <s v="C036"/>
    <x v="1"/>
    <n v="4307.7"/>
    <n v="5"/>
    <n v="396.31"/>
    <n v="0"/>
    <x v="3"/>
    <x v="2"/>
  </r>
  <r>
    <s v="O0657"/>
    <s v="2024-09-16"/>
    <s v="C094"/>
    <x v="2"/>
    <n v="469.46"/>
    <n v="1"/>
    <n v="26.1"/>
    <n v="0.2"/>
    <x v="1"/>
    <x v="0"/>
  </r>
  <r>
    <s v="O0658"/>
    <s v="2024-01-19"/>
    <s v="C075"/>
    <x v="2"/>
    <n v="2085.16"/>
    <n v="5"/>
    <n v="473.35"/>
    <n v="0.2"/>
    <x v="0"/>
    <x v="2"/>
  </r>
  <r>
    <s v="O0659"/>
    <s v="2024-07-06"/>
    <s v="C070"/>
    <x v="0"/>
    <n v="2413.31"/>
    <n v="4"/>
    <n v="681.9"/>
    <n v="0.2"/>
    <x v="3"/>
    <x v="1"/>
  </r>
  <r>
    <s v="O0660"/>
    <s v="2024-09-13"/>
    <s v="C094"/>
    <x v="2"/>
    <n v="4300.1000000000004"/>
    <n v="2"/>
    <n v="387.72"/>
    <n v="0.15"/>
    <x v="1"/>
    <x v="0"/>
  </r>
  <r>
    <s v="O0661"/>
    <s v="2024-11-10"/>
    <s v="C047"/>
    <x v="2"/>
    <n v="2560.62"/>
    <n v="3"/>
    <n v="637.09"/>
    <n v="0.2"/>
    <x v="2"/>
    <x v="2"/>
  </r>
  <r>
    <s v="O0662"/>
    <s v="2024-10-16"/>
    <s v="C018"/>
    <x v="2"/>
    <n v="2286.48"/>
    <n v="3"/>
    <n v="237.21"/>
    <n v="0.15"/>
    <x v="0"/>
    <x v="0"/>
  </r>
  <r>
    <s v="O0663"/>
    <s v="2024-04-28"/>
    <s v="C046"/>
    <x v="1"/>
    <n v="298.06"/>
    <n v="5"/>
    <n v="82.99"/>
    <n v="0.1"/>
    <x v="3"/>
    <x v="0"/>
  </r>
  <r>
    <s v="O0664"/>
    <s v="2024-07-03"/>
    <s v="C030"/>
    <x v="0"/>
    <n v="309.76"/>
    <n v="8"/>
    <n v="34.700000000000003"/>
    <n v="0.15"/>
    <x v="0"/>
    <x v="0"/>
  </r>
  <r>
    <s v="O0665"/>
    <s v="2024-02-22"/>
    <s v="C006"/>
    <x v="2"/>
    <n v="295.52999999999997"/>
    <n v="9"/>
    <n v="72.27"/>
    <n v="0.1"/>
    <x v="1"/>
    <x v="0"/>
  </r>
  <r>
    <s v="O0666"/>
    <s v="2024-03-30"/>
    <s v="C095"/>
    <x v="0"/>
    <n v="1390.25"/>
    <n v="7"/>
    <n v="296.55"/>
    <n v="0.1"/>
    <x v="2"/>
    <x v="0"/>
  </r>
  <r>
    <s v="O0667"/>
    <s v="2024-09-21"/>
    <s v="C076"/>
    <x v="0"/>
    <n v="3301.35"/>
    <n v="7"/>
    <n v="992.52"/>
    <n v="0.05"/>
    <x v="3"/>
    <x v="2"/>
  </r>
  <r>
    <s v="O0668"/>
    <s v="2024-06-25"/>
    <s v="C067"/>
    <x v="0"/>
    <n v="2088.63"/>
    <n v="8"/>
    <n v="616.5"/>
    <n v="0.2"/>
    <x v="0"/>
    <x v="2"/>
  </r>
  <r>
    <s v="O0669"/>
    <s v="2024-03-25"/>
    <s v="C001"/>
    <x v="1"/>
    <n v="2559"/>
    <n v="2"/>
    <n v="234.64"/>
    <n v="0.2"/>
    <x v="0"/>
    <x v="0"/>
  </r>
  <r>
    <s v="O0670"/>
    <s v="2024-03-21"/>
    <s v="C083"/>
    <x v="0"/>
    <n v="1475.97"/>
    <n v="10"/>
    <n v="140.32"/>
    <n v="0"/>
    <x v="2"/>
    <x v="0"/>
  </r>
  <r>
    <s v="O0671"/>
    <s v="2024-02-28"/>
    <s v="C085"/>
    <x v="0"/>
    <n v="1228.7"/>
    <n v="8"/>
    <n v="360.44"/>
    <n v="0.15"/>
    <x v="0"/>
    <x v="0"/>
  </r>
  <r>
    <s v="O0672"/>
    <s v="2024-07-29"/>
    <s v="C027"/>
    <x v="1"/>
    <n v="2994.88"/>
    <n v="4"/>
    <n v="731.28"/>
    <n v="0"/>
    <x v="2"/>
    <x v="2"/>
  </r>
  <r>
    <s v="O0673"/>
    <s v="2024-11-18"/>
    <s v="C017"/>
    <x v="2"/>
    <n v="2910.08"/>
    <n v="1"/>
    <n v="286.17"/>
    <n v="0.2"/>
    <x v="2"/>
    <x v="1"/>
  </r>
  <r>
    <s v="O0674"/>
    <s v="2024-04-02"/>
    <s v="C019"/>
    <x v="2"/>
    <n v="373.97"/>
    <n v="7"/>
    <n v="47.67"/>
    <n v="0.2"/>
    <x v="1"/>
    <x v="0"/>
  </r>
  <r>
    <s v="O0675"/>
    <s v="2024-12-04"/>
    <s v="C073"/>
    <x v="0"/>
    <n v="3224.35"/>
    <n v="2"/>
    <n v="1011"/>
    <n v="0.05"/>
    <x v="3"/>
    <x v="2"/>
  </r>
  <r>
    <s v="O0676"/>
    <s v="2024-09-03"/>
    <s v="C058"/>
    <x v="1"/>
    <n v="3071.98"/>
    <n v="4"/>
    <n v="588.04999999999995"/>
    <n v="0.15"/>
    <x v="0"/>
    <x v="0"/>
  </r>
  <r>
    <s v="O0677"/>
    <s v="2024-04-03"/>
    <s v="C077"/>
    <x v="2"/>
    <n v="799.29"/>
    <n v="9"/>
    <n v="179.68"/>
    <n v="0.1"/>
    <x v="2"/>
    <x v="0"/>
  </r>
  <r>
    <s v="O0678"/>
    <s v="2024-08-20"/>
    <s v="C022"/>
    <x v="2"/>
    <n v="3648.52"/>
    <n v="10"/>
    <n v="557.5"/>
    <n v="0"/>
    <x v="1"/>
    <x v="2"/>
  </r>
  <r>
    <s v="O0679"/>
    <s v="2024-01-09"/>
    <s v="C030"/>
    <x v="1"/>
    <n v="1953.24"/>
    <n v="9"/>
    <n v="175.14"/>
    <n v="0.2"/>
    <x v="0"/>
    <x v="0"/>
  </r>
  <r>
    <s v="O0680"/>
    <s v="2024-02-19"/>
    <s v="C088"/>
    <x v="1"/>
    <n v="2157"/>
    <n v="8"/>
    <n v="204.63"/>
    <n v="0.2"/>
    <x v="1"/>
    <x v="2"/>
  </r>
  <r>
    <s v="O0681"/>
    <s v="2024-09-14"/>
    <s v="C077"/>
    <x v="1"/>
    <n v="291.27999999999997"/>
    <n v="2"/>
    <n v="83.06"/>
    <n v="0.15"/>
    <x v="2"/>
    <x v="0"/>
  </r>
  <r>
    <s v="O0682"/>
    <s v="2024-01-01"/>
    <s v="C085"/>
    <x v="2"/>
    <n v="738.61"/>
    <n v="7"/>
    <n v="170.65"/>
    <n v="0.2"/>
    <x v="0"/>
    <x v="0"/>
  </r>
  <r>
    <s v="O0683"/>
    <s v="2024-09-28"/>
    <s v="C054"/>
    <x v="0"/>
    <n v="1914.85"/>
    <n v="4"/>
    <n v="120.7"/>
    <n v="0.15"/>
    <x v="1"/>
    <x v="2"/>
  </r>
  <r>
    <s v="O0684"/>
    <s v="2024-12-22"/>
    <s v="C099"/>
    <x v="2"/>
    <n v="1968.06"/>
    <n v="2"/>
    <n v="446.19"/>
    <n v="0.15"/>
    <x v="2"/>
    <x v="0"/>
  </r>
  <r>
    <s v="O0685"/>
    <s v="2024-02-12"/>
    <s v="C018"/>
    <x v="0"/>
    <n v="1347.14"/>
    <n v="10"/>
    <n v="376.87"/>
    <n v="0.2"/>
    <x v="0"/>
    <x v="0"/>
  </r>
  <r>
    <s v="O0686"/>
    <s v="2024-01-04"/>
    <s v="C053"/>
    <x v="2"/>
    <n v="1363.24"/>
    <n v="9"/>
    <n v="70.400000000000006"/>
    <n v="0"/>
    <x v="3"/>
    <x v="2"/>
  </r>
  <r>
    <s v="O0687"/>
    <s v="2024-12-18"/>
    <s v="C067"/>
    <x v="0"/>
    <n v="135.25"/>
    <n v="7"/>
    <n v="33.32"/>
    <n v="0.1"/>
    <x v="0"/>
    <x v="2"/>
  </r>
  <r>
    <s v="O0688"/>
    <s v="2024-05-09"/>
    <s v="C014"/>
    <x v="0"/>
    <n v="858.42"/>
    <n v="9"/>
    <n v="210.72"/>
    <n v="0.15"/>
    <x v="2"/>
    <x v="2"/>
  </r>
  <r>
    <s v="O0689"/>
    <s v="2024-12-14"/>
    <s v="C073"/>
    <x v="0"/>
    <n v="1891.66"/>
    <n v="4"/>
    <n v="250.96"/>
    <n v="0.15"/>
    <x v="3"/>
    <x v="2"/>
  </r>
  <r>
    <s v="O0690"/>
    <s v="2024-07-08"/>
    <s v="C071"/>
    <x v="2"/>
    <n v="3940.56"/>
    <n v="9"/>
    <n v="767.39"/>
    <n v="0.15"/>
    <x v="2"/>
    <x v="1"/>
  </r>
  <r>
    <s v="O0691"/>
    <s v="2024-12-27"/>
    <s v="C033"/>
    <x v="0"/>
    <n v="4943.6899999999996"/>
    <n v="3"/>
    <n v="1103.9000000000001"/>
    <n v="0"/>
    <x v="3"/>
    <x v="0"/>
  </r>
  <r>
    <s v="O0692"/>
    <s v="2024-03-23"/>
    <s v="C096"/>
    <x v="1"/>
    <n v="1225.8800000000001"/>
    <n v="4"/>
    <n v="349.29"/>
    <n v="0.2"/>
    <x v="0"/>
    <x v="1"/>
  </r>
  <r>
    <s v="O0693"/>
    <s v="2024-11-10"/>
    <s v="C052"/>
    <x v="2"/>
    <n v="3951.8"/>
    <n v="1"/>
    <n v="1147.03"/>
    <n v="0.05"/>
    <x v="2"/>
    <x v="2"/>
  </r>
  <r>
    <s v="O0694"/>
    <s v="2024-02-16"/>
    <s v="C050"/>
    <x v="1"/>
    <n v="4826.3900000000003"/>
    <n v="8"/>
    <n v="248.98"/>
    <n v="0.2"/>
    <x v="1"/>
    <x v="0"/>
  </r>
  <r>
    <s v="O0695"/>
    <s v="2024-07-08"/>
    <s v="C056"/>
    <x v="1"/>
    <n v="531.89"/>
    <n v="10"/>
    <n v="68.58"/>
    <n v="0"/>
    <x v="2"/>
    <x v="0"/>
  </r>
  <r>
    <s v="O0696"/>
    <s v="2024-11-10"/>
    <s v="C093"/>
    <x v="2"/>
    <n v="1983.2"/>
    <n v="9"/>
    <n v="684.87"/>
    <n v="0.1"/>
    <x v="3"/>
    <x v="1"/>
  </r>
  <r>
    <s v="O0697"/>
    <s v="2024-03-30"/>
    <s v="C092"/>
    <x v="2"/>
    <n v="4821.3"/>
    <n v="8"/>
    <n v="324.18"/>
    <n v="0.15"/>
    <x v="3"/>
    <x v="1"/>
  </r>
  <r>
    <s v="O0698"/>
    <s v="2024-09-22"/>
    <s v="C002"/>
    <x v="0"/>
    <n v="1088.3699999999999"/>
    <n v="4"/>
    <n v="268.89999999999998"/>
    <n v="0"/>
    <x v="3"/>
    <x v="0"/>
  </r>
  <r>
    <s v="O0699"/>
    <s v="2024-11-10"/>
    <s v="C077"/>
    <x v="1"/>
    <n v="2601.6799999999998"/>
    <n v="1"/>
    <n v="675.23"/>
    <n v="0.1"/>
    <x v="2"/>
    <x v="0"/>
  </r>
  <r>
    <s v="O0700"/>
    <s v="2024-02-14"/>
    <s v="C031"/>
    <x v="0"/>
    <n v="3309.59"/>
    <n v="7"/>
    <n v="1134.18"/>
    <n v="0.1"/>
    <x v="0"/>
    <x v="1"/>
  </r>
  <r>
    <s v="O0701"/>
    <s v="2024-09-22"/>
    <s v="C086"/>
    <x v="1"/>
    <n v="2036.2"/>
    <n v="2"/>
    <n v="459.82"/>
    <n v="0"/>
    <x v="1"/>
    <x v="0"/>
  </r>
  <r>
    <s v="O0702"/>
    <s v="2024-10-25"/>
    <s v="C071"/>
    <x v="0"/>
    <n v="1494.02"/>
    <n v="6"/>
    <n v="446.61"/>
    <n v="0.1"/>
    <x v="2"/>
    <x v="1"/>
  </r>
  <r>
    <s v="O0703"/>
    <s v="2024-07-25"/>
    <s v="C029"/>
    <x v="2"/>
    <n v="3071.18"/>
    <n v="1"/>
    <n v="332.79"/>
    <n v="0.1"/>
    <x v="2"/>
    <x v="1"/>
  </r>
  <r>
    <s v="O0704"/>
    <s v="2024-02-07"/>
    <s v="C023"/>
    <x v="2"/>
    <n v="2094.96"/>
    <n v="5"/>
    <n v="171.66"/>
    <n v="0.1"/>
    <x v="0"/>
    <x v="1"/>
  </r>
  <r>
    <s v="O0705"/>
    <s v="2024-10-02"/>
    <s v="C015"/>
    <x v="2"/>
    <n v="4034.42"/>
    <n v="5"/>
    <n v="1359.65"/>
    <n v="0.15"/>
    <x v="1"/>
    <x v="1"/>
  </r>
  <r>
    <s v="O0706"/>
    <s v="2024-06-22"/>
    <s v="C049"/>
    <x v="0"/>
    <n v="2859.53"/>
    <n v="8"/>
    <n v="803.5"/>
    <n v="0.2"/>
    <x v="1"/>
    <x v="1"/>
  </r>
  <r>
    <s v="O0707"/>
    <s v="2024-07-14"/>
    <s v="C004"/>
    <x v="2"/>
    <n v="2461.65"/>
    <n v="4"/>
    <n v="313.48"/>
    <n v="0.05"/>
    <x v="0"/>
    <x v="2"/>
  </r>
  <r>
    <s v="O0708"/>
    <s v="2024-10-01"/>
    <s v="C041"/>
    <x v="1"/>
    <n v="2120.89"/>
    <n v="5"/>
    <n v="330.71"/>
    <n v="0.05"/>
    <x v="3"/>
    <x v="2"/>
  </r>
  <r>
    <s v="O0709"/>
    <s v="2024-06-24"/>
    <s v="C037"/>
    <x v="1"/>
    <n v="555.75"/>
    <n v="9"/>
    <n v="140.11000000000001"/>
    <n v="0.05"/>
    <x v="0"/>
    <x v="2"/>
  </r>
  <r>
    <s v="O0710"/>
    <s v="2024-10-20"/>
    <s v="C061"/>
    <x v="0"/>
    <n v="1637.98"/>
    <n v="3"/>
    <n v="189.3"/>
    <n v="0.05"/>
    <x v="1"/>
    <x v="2"/>
  </r>
  <r>
    <s v="O0711"/>
    <s v="2024-05-03"/>
    <s v="C064"/>
    <x v="0"/>
    <n v="3711.85"/>
    <n v="4"/>
    <n v="447.12"/>
    <n v="0.05"/>
    <x v="1"/>
    <x v="2"/>
  </r>
  <r>
    <s v="O0712"/>
    <s v="2024-07-01"/>
    <s v="C026"/>
    <x v="1"/>
    <n v="4191.21"/>
    <n v="2"/>
    <n v="1261.1400000000001"/>
    <n v="0"/>
    <x v="3"/>
    <x v="2"/>
  </r>
  <r>
    <s v="O0713"/>
    <s v="2024-11-10"/>
    <s v="C011"/>
    <x v="1"/>
    <n v="3411.48"/>
    <n v="9"/>
    <n v="849.55"/>
    <n v="0"/>
    <x v="1"/>
    <x v="0"/>
  </r>
  <r>
    <s v="O0714"/>
    <s v="2024-10-21"/>
    <s v="C062"/>
    <x v="0"/>
    <n v="1918.86"/>
    <n v="8"/>
    <n v="277.52"/>
    <n v="0.05"/>
    <x v="0"/>
    <x v="1"/>
  </r>
  <r>
    <s v="O0715"/>
    <s v="2024-04-23"/>
    <s v="C098"/>
    <x v="2"/>
    <n v="4588.43"/>
    <n v="3"/>
    <n v="615.22"/>
    <n v="0"/>
    <x v="2"/>
    <x v="2"/>
  </r>
  <r>
    <s v="O0716"/>
    <s v="2024-10-03"/>
    <s v="C068"/>
    <x v="1"/>
    <n v="4016.42"/>
    <n v="9"/>
    <n v="777.16"/>
    <n v="0.1"/>
    <x v="3"/>
    <x v="2"/>
  </r>
  <r>
    <s v="O0717"/>
    <s v="2024-08-22"/>
    <s v="C051"/>
    <x v="1"/>
    <n v="4315.96"/>
    <n v="9"/>
    <n v="1220.43"/>
    <n v="0.15"/>
    <x v="3"/>
    <x v="0"/>
  </r>
  <r>
    <s v="O0718"/>
    <s v="2024-04-17"/>
    <s v="C041"/>
    <x v="0"/>
    <n v="3477.13"/>
    <n v="10"/>
    <n v="186.19"/>
    <n v="0"/>
    <x v="3"/>
    <x v="2"/>
  </r>
  <r>
    <s v="O0719"/>
    <s v="2024-04-05"/>
    <s v="C042"/>
    <x v="2"/>
    <n v="1871.85"/>
    <n v="5"/>
    <n v="577.55999999999995"/>
    <n v="0.05"/>
    <x v="2"/>
    <x v="2"/>
  </r>
  <r>
    <s v="O0720"/>
    <s v="2024-07-06"/>
    <s v="C035"/>
    <x v="1"/>
    <n v="2409.59"/>
    <n v="8"/>
    <n v="563.66"/>
    <n v="0.15"/>
    <x v="2"/>
    <x v="2"/>
  </r>
  <r>
    <s v="O0721"/>
    <s v="2024-07-05"/>
    <s v="C027"/>
    <x v="0"/>
    <n v="2153.56"/>
    <n v="5"/>
    <n v="593.65"/>
    <n v="0.15"/>
    <x v="2"/>
    <x v="2"/>
  </r>
  <r>
    <s v="O0722"/>
    <s v="2024-12-17"/>
    <s v="C024"/>
    <x v="1"/>
    <n v="2899.91"/>
    <n v="2"/>
    <n v="996.94"/>
    <n v="0.1"/>
    <x v="0"/>
    <x v="2"/>
  </r>
  <r>
    <s v="O0723"/>
    <s v="2024-04-10"/>
    <s v="C031"/>
    <x v="1"/>
    <n v="2821.17"/>
    <n v="3"/>
    <n v="865.8"/>
    <n v="0.15"/>
    <x v="0"/>
    <x v="1"/>
  </r>
  <r>
    <s v="O0724"/>
    <s v="2024-11-18"/>
    <s v="C002"/>
    <x v="2"/>
    <n v="965.38"/>
    <n v="9"/>
    <n v="192.96"/>
    <n v="0.1"/>
    <x v="3"/>
    <x v="0"/>
  </r>
  <r>
    <s v="O0725"/>
    <s v="2024-10-17"/>
    <s v="C063"/>
    <x v="1"/>
    <n v="1570.17"/>
    <n v="7"/>
    <n v="343.3"/>
    <n v="0"/>
    <x v="1"/>
    <x v="2"/>
  </r>
  <r>
    <s v="O0726"/>
    <s v="2024-05-10"/>
    <s v="C089"/>
    <x v="0"/>
    <n v="900.38"/>
    <n v="2"/>
    <n v="103.22"/>
    <n v="0.15"/>
    <x v="2"/>
    <x v="1"/>
  </r>
  <r>
    <s v="O0727"/>
    <s v="2024-10-13"/>
    <s v="C096"/>
    <x v="2"/>
    <n v="1739.82"/>
    <n v="5"/>
    <n v="275.39"/>
    <n v="0.1"/>
    <x v="0"/>
    <x v="1"/>
  </r>
  <r>
    <s v="O0728"/>
    <s v="2024-12-13"/>
    <s v="C003"/>
    <x v="2"/>
    <n v="2117.63"/>
    <n v="4"/>
    <n v="328.93"/>
    <n v="0.2"/>
    <x v="2"/>
    <x v="0"/>
  </r>
  <r>
    <s v="O0729"/>
    <s v="2024-05-25"/>
    <s v="C074"/>
    <x v="0"/>
    <n v="3284.34"/>
    <n v="6"/>
    <n v="694.74"/>
    <n v="0.2"/>
    <x v="2"/>
    <x v="2"/>
  </r>
  <r>
    <s v="O0730"/>
    <s v="2024-02-10"/>
    <s v="C063"/>
    <x v="0"/>
    <n v="3896.25"/>
    <n v="10"/>
    <n v="717.22"/>
    <n v="0.1"/>
    <x v="1"/>
    <x v="2"/>
  </r>
  <r>
    <s v="O0731"/>
    <s v="2024-03-26"/>
    <s v="C060"/>
    <x v="2"/>
    <n v="3195.39"/>
    <n v="6"/>
    <n v="298.62"/>
    <n v="0.15"/>
    <x v="2"/>
    <x v="2"/>
  </r>
  <r>
    <s v="O0732"/>
    <s v="2024-02-06"/>
    <s v="C081"/>
    <x v="1"/>
    <n v="3100.32"/>
    <n v="3"/>
    <n v="531.49"/>
    <n v="0.1"/>
    <x v="0"/>
    <x v="0"/>
  </r>
  <r>
    <s v="O0733"/>
    <s v="2024-12-29"/>
    <s v="C030"/>
    <x v="0"/>
    <n v="1636.06"/>
    <n v="10"/>
    <n v="402.31"/>
    <n v="0.15"/>
    <x v="0"/>
    <x v="0"/>
  </r>
  <r>
    <s v="O0734"/>
    <s v="2024-07-04"/>
    <s v="C035"/>
    <x v="2"/>
    <n v="4449.6899999999996"/>
    <n v="10"/>
    <n v="1265.01"/>
    <n v="0.2"/>
    <x v="2"/>
    <x v="2"/>
  </r>
  <r>
    <s v="O0735"/>
    <s v="2024-01-12"/>
    <s v="C058"/>
    <x v="1"/>
    <n v="2128.5500000000002"/>
    <n v="4"/>
    <n v="223.85"/>
    <n v="0.1"/>
    <x v="0"/>
    <x v="0"/>
  </r>
  <r>
    <s v="O0736"/>
    <s v="2024-03-26"/>
    <s v="C096"/>
    <x v="0"/>
    <n v="3533.41"/>
    <n v="2"/>
    <n v="261.54000000000002"/>
    <n v="0"/>
    <x v="0"/>
    <x v="1"/>
  </r>
  <r>
    <s v="O0737"/>
    <s v="2024-01-28"/>
    <s v="C009"/>
    <x v="1"/>
    <n v="4690.29"/>
    <n v="7"/>
    <n v="900.33"/>
    <n v="0.2"/>
    <x v="0"/>
    <x v="2"/>
  </r>
  <r>
    <s v="O0738"/>
    <s v="2024-11-12"/>
    <s v="C098"/>
    <x v="1"/>
    <n v="4980.47"/>
    <n v="2"/>
    <n v="404.31"/>
    <n v="0.15"/>
    <x v="2"/>
    <x v="2"/>
  </r>
  <r>
    <s v="O0739"/>
    <s v="2024-08-14"/>
    <s v="C040"/>
    <x v="2"/>
    <n v="1223.8399999999999"/>
    <n v="3"/>
    <n v="332"/>
    <n v="0.05"/>
    <x v="1"/>
    <x v="1"/>
  </r>
  <r>
    <s v="O0740"/>
    <s v="2024-12-05"/>
    <s v="C068"/>
    <x v="0"/>
    <n v="4208.74"/>
    <n v="6"/>
    <n v="246.51"/>
    <n v="0.15"/>
    <x v="3"/>
    <x v="2"/>
  </r>
  <r>
    <s v="O0741"/>
    <s v="2024-05-19"/>
    <s v="C060"/>
    <x v="2"/>
    <n v="4877.41"/>
    <n v="8"/>
    <n v="1034.8699999999999"/>
    <n v="0.05"/>
    <x v="2"/>
    <x v="2"/>
  </r>
  <r>
    <s v="O0742"/>
    <s v="2024-08-21"/>
    <s v="C090"/>
    <x v="2"/>
    <n v="2742.51"/>
    <n v="10"/>
    <n v="623.23"/>
    <n v="0.15"/>
    <x v="1"/>
    <x v="0"/>
  </r>
  <r>
    <s v="O0743"/>
    <s v="2024-06-26"/>
    <s v="C068"/>
    <x v="0"/>
    <n v="3234.95"/>
    <n v="9"/>
    <n v="679.78"/>
    <n v="0.05"/>
    <x v="3"/>
    <x v="2"/>
  </r>
  <r>
    <s v="O0744"/>
    <s v="2024-05-13"/>
    <s v="C012"/>
    <x v="1"/>
    <n v="2265.12"/>
    <n v="5"/>
    <n v="361.82"/>
    <n v="0"/>
    <x v="1"/>
    <x v="2"/>
  </r>
  <r>
    <s v="O0745"/>
    <s v="2024-03-10"/>
    <s v="C001"/>
    <x v="0"/>
    <n v="2664.25"/>
    <n v="5"/>
    <n v="739.3"/>
    <n v="0.15"/>
    <x v="0"/>
    <x v="0"/>
  </r>
  <r>
    <s v="O0746"/>
    <s v="2024-09-01"/>
    <s v="C069"/>
    <x v="0"/>
    <n v="140.75"/>
    <n v="1"/>
    <n v="45.97"/>
    <n v="0.15"/>
    <x v="3"/>
    <x v="0"/>
  </r>
  <r>
    <s v="O0747"/>
    <s v="2024-10-07"/>
    <s v="C038"/>
    <x v="0"/>
    <n v="3025.32"/>
    <n v="4"/>
    <n v="874.41"/>
    <n v="0.15"/>
    <x v="2"/>
    <x v="2"/>
  </r>
  <r>
    <s v="O0748"/>
    <s v="2024-11-26"/>
    <s v="C072"/>
    <x v="0"/>
    <n v="2241.8200000000002"/>
    <n v="7"/>
    <n v="280.16000000000003"/>
    <n v="0.05"/>
    <x v="0"/>
    <x v="2"/>
  </r>
  <r>
    <s v="O0749"/>
    <s v="2024-09-21"/>
    <s v="C034"/>
    <x v="2"/>
    <n v="488.13"/>
    <n v="5"/>
    <n v="115.98"/>
    <n v="0.1"/>
    <x v="3"/>
    <x v="1"/>
  </r>
  <r>
    <s v="O0750"/>
    <s v="2024-07-30"/>
    <s v="C084"/>
    <x v="1"/>
    <n v="3740.34"/>
    <n v="2"/>
    <n v="1094.58"/>
    <n v="0.05"/>
    <x v="2"/>
    <x v="2"/>
  </r>
  <r>
    <s v="O0751"/>
    <s v="2024-11-12"/>
    <s v="C018"/>
    <x v="0"/>
    <n v="1519.02"/>
    <n v="5"/>
    <n v="366.19"/>
    <n v="0.2"/>
    <x v="0"/>
    <x v="0"/>
  </r>
  <r>
    <s v="O0752"/>
    <s v="2024-01-26"/>
    <s v="C063"/>
    <x v="2"/>
    <n v="1020.17"/>
    <n v="1"/>
    <n v="56.94"/>
    <n v="0.05"/>
    <x v="1"/>
    <x v="2"/>
  </r>
  <r>
    <s v="O0753"/>
    <s v="2024-08-12"/>
    <s v="C014"/>
    <x v="2"/>
    <n v="1482.36"/>
    <n v="1"/>
    <n v="129.72"/>
    <n v="0.05"/>
    <x v="2"/>
    <x v="2"/>
  </r>
  <r>
    <s v="O0754"/>
    <s v="2024-06-24"/>
    <s v="C012"/>
    <x v="0"/>
    <n v="838.35"/>
    <n v="5"/>
    <n v="166.06"/>
    <n v="0.15"/>
    <x v="1"/>
    <x v="2"/>
  </r>
  <r>
    <s v="O0755"/>
    <s v="2024-06-18"/>
    <s v="C048"/>
    <x v="1"/>
    <n v="2372.0500000000002"/>
    <n v="3"/>
    <n v="681.79"/>
    <n v="0"/>
    <x v="3"/>
    <x v="0"/>
  </r>
  <r>
    <s v="O0756"/>
    <s v="2024-08-28"/>
    <s v="C035"/>
    <x v="1"/>
    <n v="3900.7"/>
    <n v="4"/>
    <n v="278.57"/>
    <n v="0.1"/>
    <x v="2"/>
    <x v="2"/>
  </r>
  <r>
    <s v="O0757"/>
    <s v="2024-05-07"/>
    <s v="C049"/>
    <x v="0"/>
    <n v="4158.4399999999996"/>
    <n v="8"/>
    <n v="360.07"/>
    <n v="0.05"/>
    <x v="1"/>
    <x v="1"/>
  </r>
  <r>
    <s v="O0758"/>
    <s v="2024-02-18"/>
    <s v="C095"/>
    <x v="2"/>
    <n v="4973.22"/>
    <n v="4"/>
    <n v="545.83000000000004"/>
    <n v="0.15"/>
    <x v="2"/>
    <x v="0"/>
  </r>
  <r>
    <s v="O0759"/>
    <s v="2024-06-14"/>
    <s v="C050"/>
    <x v="1"/>
    <n v="3439.07"/>
    <n v="1"/>
    <n v="493.96"/>
    <n v="0.2"/>
    <x v="1"/>
    <x v="0"/>
  </r>
  <r>
    <s v="O0760"/>
    <s v="2024-06-01"/>
    <s v="C067"/>
    <x v="1"/>
    <n v="698.49"/>
    <n v="6"/>
    <n v="135.76"/>
    <n v="0"/>
    <x v="0"/>
    <x v="2"/>
  </r>
  <r>
    <s v="O0761"/>
    <s v="2024-11-20"/>
    <s v="C086"/>
    <x v="0"/>
    <n v="1167.1600000000001"/>
    <n v="6"/>
    <n v="97.9"/>
    <n v="0"/>
    <x v="1"/>
    <x v="0"/>
  </r>
  <r>
    <s v="O0762"/>
    <s v="2024-07-21"/>
    <s v="C022"/>
    <x v="1"/>
    <n v="3992.51"/>
    <n v="1"/>
    <n v="899.95"/>
    <n v="0"/>
    <x v="1"/>
    <x v="2"/>
  </r>
  <r>
    <s v="O0763"/>
    <s v="2024-11-01"/>
    <s v="C075"/>
    <x v="1"/>
    <n v="3939.03"/>
    <n v="6"/>
    <n v="758.58"/>
    <n v="0"/>
    <x v="0"/>
    <x v="2"/>
  </r>
  <r>
    <s v="O0764"/>
    <s v="2024-11-12"/>
    <s v="C032"/>
    <x v="0"/>
    <n v="872.72"/>
    <n v="1"/>
    <n v="67.569999999999993"/>
    <n v="0"/>
    <x v="3"/>
    <x v="1"/>
  </r>
  <r>
    <s v="O0765"/>
    <s v="2024-02-24"/>
    <s v="C046"/>
    <x v="1"/>
    <n v="3258.42"/>
    <n v="8"/>
    <n v="848.49"/>
    <n v="0.05"/>
    <x v="3"/>
    <x v="0"/>
  </r>
  <r>
    <s v="O0766"/>
    <s v="2024-06-26"/>
    <s v="C041"/>
    <x v="0"/>
    <n v="4910.21"/>
    <n v="4"/>
    <n v="1407.11"/>
    <n v="0"/>
    <x v="3"/>
    <x v="2"/>
  </r>
  <r>
    <s v="O0767"/>
    <s v="2024-05-08"/>
    <s v="C089"/>
    <x v="1"/>
    <n v="1951.07"/>
    <n v="8"/>
    <n v="521.55999999999995"/>
    <n v="0.15"/>
    <x v="2"/>
    <x v="1"/>
  </r>
  <r>
    <s v="O0768"/>
    <s v="2024-04-07"/>
    <s v="C072"/>
    <x v="2"/>
    <n v="1544.1"/>
    <n v="3"/>
    <n v="400.09"/>
    <n v="0.2"/>
    <x v="0"/>
    <x v="2"/>
  </r>
  <r>
    <s v="O0769"/>
    <s v="2024-11-02"/>
    <s v="C045"/>
    <x v="2"/>
    <n v="1686.04"/>
    <n v="3"/>
    <n v="321.22000000000003"/>
    <n v="0"/>
    <x v="3"/>
    <x v="1"/>
  </r>
  <r>
    <s v="O0770"/>
    <s v="2024-05-14"/>
    <s v="C068"/>
    <x v="2"/>
    <n v="859.62"/>
    <n v="6"/>
    <n v="119.23"/>
    <n v="0.15"/>
    <x v="3"/>
    <x v="2"/>
  </r>
  <r>
    <s v="O0771"/>
    <s v="2024-04-04"/>
    <s v="C001"/>
    <x v="1"/>
    <n v="3902"/>
    <n v="10"/>
    <n v="787.37"/>
    <n v="0.1"/>
    <x v="0"/>
    <x v="0"/>
  </r>
  <r>
    <s v="O0772"/>
    <s v="2024-02-02"/>
    <s v="C100"/>
    <x v="2"/>
    <n v="3138.97"/>
    <n v="9"/>
    <n v="458.94"/>
    <n v="0.15"/>
    <x v="0"/>
    <x v="2"/>
  </r>
  <r>
    <s v="O0773"/>
    <s v="2024-10-09"/>
    <s v="C025"/>
    <x v="1"/>
    <n v="2667.94"/>
    <n v="10"/>
    <n v="531.63"/>
    <n v="0.1"/>
    <x v="3"/>
    <x v="2"/>
  </r>
  <r>
    <s v="O0774"/>
    <s v="2024-02-19"/>
    <s v="C042"/>
    <x v="2"/>
    <n v="2108.04"/>
    <n v="2"/>
    <n v="309.05"/>
    <n v="0"/>
    <x v="2"/>
    <x v="2"/>
  </r>
  <r>
    <s v="O0775"/>
    <s v="2024-02-24"/>
    <s v="C017"/>
    <x v="0"/>
    <n v="975.33"/>
    <n v="4"/>
    <n v="57.92"/>
    <n v="0"/>
    <x v="2"/>
    <x v="1"/>
  </r>
  <r>
    <s v="O0776"/>
    <s v="2024-12-02"/>
    <s v="C005"/>
    <x v="0"/>
    <n v="2897.96"/>
    <n v="9"/>
    <n v="871.97"/>
    <n v="0.2"/>
    <x v="0"/>
    <x v="2"/>
  </r>
  <r>
    <s v="O0777"/>
    <s v="2024-04-23"/>
    <s v="C090"/>
    <x v="2"/>
    <n v="2992.47"/>
    <n v="2"/>
    <n v="193.69"/>
    <n v="0"/>
    <x v="1"/>
    <x v="0"/>
  </r>
  <r>
    <s v="O0778"/>
    <s v="2024-02-10"/>
    <s v="C027"/>
    <x v="0"/>
    <n v="3313.17"/>
    <n v="1"/>
    <n v="1088.45"/>
    <n v="0.1"/>
    <x v="2"/>
    <x v="2"/>
  </r>
  <r>
    <s v="O0779"/>
    <s v="2024-07-07"/>
    <s v="C072"/>
    <x v="2"/>
    <n v="3743.04"/>
    <n v="1"/>
    <n v="1187.03"/>
    <n v="0.2"/>
    <x v="0"/>
    <x v="2"/>
  </r>
  <r>
    <s v="O0780"/>
    <s v="2024-06-04"/>
    <s v="C035"/>
    <x v="1"/>
    <n v="2692.2"/>
    <n v="4"/>
    <n v="727.68"/>
    <n v="0.2"/>
    <x v="2"/>
    <x v="2"/>
  </r>
  <r>
    <s v="O0781"/>
    <s v="2024-07-16"/>
    <s v="C013"/>
    <x v="1"/>
    <n v="596"/>
    <n v="4"/>
    <n v="71.11"/>
    <n v="0.2"/>
    <x v="3"/>
    <x v="0"/>
  </r>
  <r>
    <s v="O0782"/>
    <s v="2024-04-01"/>
    <s v="C085"/>
    <x v="2"/>
    <n v="1318.94"/>
    <n v="9"/>
    <n v="313.38"/>
    <n v="0.15"/>
    <x v="0"/>
    <x v="0"/>
  </r>
  <r>
    <s v="O0783"/>
    <s v="2024-07-02"/>
    <s v="C096"/>
    <x v="2"/>
    <n v="617.02"/>
    <n v="8"/>
    <n v="149.06"/>
    <n v="0.15"/>
    <x v="0"/>
    <x v="1"/>
  </r>
  <r>
    <s v="O0784"/>
    <s v="2024-07-24"/>
    <s v="C014"/>
    <x v="2"/>
    <n v="917.37"/>
    <n v="6"/>
    <n v="95.52"/>
    <n v="0.05"/>
    <x v="2"/>
    <x v="2"/>
  </r>
  <r>
    <s v="O0785"/>
    <s v="2024-06-29"/>
    <s v="C069"/>
    <x v="0"/>
    <n v="4992.32"/>
    <n v="9"/>
    <n v="913.11"/>
    <n v="0.1"/>
    <x v="3"/>
    <x v="0"/>
  </r>
  <r>
    <s v="O0786"/>
    <s v="2024-06-14"/>
    <s v="C048"/>
    <x v="2"/>
    <n v="2120.48"/>
    <n v="4"/>
    <n v="508.86"/>
    <n v="0.2"/>
    <x v="3"/>
    <x v="0"/>
  </r>
  <r>
    <s v="O0787"/>
    <s v="2024-05-10"/>
    <s v="C070"/>
    <x v="0"/>
    <n v="1148.25"/>
    <n v="8"/>
    <n v="321.18"/>
    <n v="0.15"/>
    <x v="3"/>
    <x v="1"/>
  </r>
  <r>
    <s v="O0788"/>
    <s v="2024-05-25"/>
    <s v="C051"/>
    <x v="2"/>
    <n v="100.96"/>
    <n v="1"/>
    <n v="6.1"/>
    <n v="0.2"/>
    <x v="3"/>
    <x v="0"/>
  </r>
  <r>
    <s v="O0789"/>
    <s v="2024-06-02"/>
    <s v="C018"/>
    <x v="1"/>
    <n v="4967.72"/>
    <n v="4"/>
    <n v="698.23"/>
    <n v="0.1"/>
    <x v="0"/>
    <x v="0"/>
  </r>
  <r>
    <s v="O0790"/>
    <s v="2024-05-21"/>
    <s v="C003"/>
    <x v="2"/>
    <n v="3880.46"/>
    <n v="9"/>
    <n v="1292.21"/>
    <n v="0.2"/>
    <x v="2"/>
    <x v="0"/>
  </r>
  <r>
    <s v="O0791"/>
    <s v="2024-01-20"/>
    <s v="C074"/>
    <x v="0"/>
    <n v="4637.0200000000004"/>
    <n v="6"/>
    <n v="447.08"/>
    <n v="0.05"/>
    <x v="2"/>
    <x v="2"/>
  </r>
  <r>
    <s v="O0792"/>
    <s v="2024-05-07"/>
    <s v="C018"/>
    <x v="1"/>
    <n v="1398.44"/>
    <n v="5"/>
    <n v="443.15"/>
    <n v="0.1"/>
    <x v="0"/>
    <x v="0"/>
  </r>
  <r>
    <s v="O0793"/>
    <s v="2024-04-21"/>
    <s v="C012"/>
    <x v="2"/>
    <n v="2895.39"/>
    <n v="2"/>
    <n v="639.07000000000005"/>
    <n v="0.1"/>
    <x v="1"/>
    <x v="2"/>
  </r>
  <r>
    <s v="O0794"/>
    <s v="2024-12-19"/>
    <s v="C062"/>
    <x v="2"/>
    <n v="947.22"/>
    <n v="10"/>
    <n v="282"/>
    <n v="0"/>
    <x v="0"/>
    <x v="1"/>
  </r>
  <r>
    <s v="O0795"/>
    <s v="2024-10-22"/>
    <s v="C077"/>
    <x v="0"/>
    <n v="3247.05"/>
    <n v="2"/>
    <n v="198.76"/>
    <n v="0"/>
    <x v="2"/>
    <x v="0"/>
  </r>
  <r>
    <s v="O0796"/>
    <s v="2024-08-10"/>
    <s v="C099"/>
    <x v="0"/>
    <n v="1738.51"/>
    <n v="2"/>
    <n v="545.78"/>
    <n v="0.05"/>
    <x v="2"/>
    <x v="0"/>
  </r>
  <r>
    <s v="O0797"/>
    <s v="2024-01-06"/>
    <s v="C096"/>
    <x v="2"/>
    <n v="3298.62"/>
    <n v="7"/>
    <n v="760.96"/>
    <n v="0"/>
    <x v="0"/>
    <x v="1"/>
  </r>
  <r>
    <s v="O0798"/>
    <s v="2024-10-16"/>
    <s v="C040"/>
    <x v="1"/>
    <n v="2669.48"/>
    <n v="6"/>
    <n v="389.2"/>
    <n v="0.2"/>
    <x v="1"/>
    <x v="1"/>
  </r>
  <r>
    <s v="O0799"/>
    <s v="2024-07-20"/>
    <s v="C090"/>
    <x v="0"/>
    <n v="1181.9100000000001"/>
    <n v="10"/>
    <n v="77.010000000000005"/>
    <n v="0.2"/>
    <x v="1"/>
    <x v="0"/>
  </r>
  <r>
    <s v="O0800"/>
    <s v="2024-07-20"/>
    <s v="C065"/>
    <x v="1"/>
    <n v="541.41"/>
    <n v="3"/>
    <n v="97.23"/>
    <n v="0.1"/>
    <x v="3"/>
    <x v="2"/>
  </r>
  <r>
    <s v="O0801"/>
    <s v="2024-10-07"/>
    <s v="C011"/>
    <x v="0"/>
    <n v="2431.69"/>
    <n v="5"/>
    <n v="665.3"/>
    <n v="0"/>
    <x v="1"/>
    <x v="0"/>
  </r>
  <r>
    <s v="O0802"/>
    <s v="2024-03-07"/>
    <s v="C052"/>
    <x v="1"/>
    <n v="2558.9299999999998"/>
    <n v="8"/>
    <n v="722"/>
    <n v="0.2"/>
    <x v="2"/>
    <x v="2"/>
  </r>
  <r>
    <s v="O0803"/>
    <s v="2024-04-10"/>
    <s v="C026"/>
    <x v="2"/>
    <n v="2490.52"/>
    <n v="10"/>
    <n v="611.86"/>
    <n v="0.2"/>
    <x v="3"/>
    <x v="2"/>
  </r>
  <r>
    <s v="O0804"/>
    <s v="2024-08-08"/>
    <s v="C032"/>
    <x v="0"/>
    <n v="1287.3399999999999"/>
    <n v="10"/>
    <n v="167.2"/>
    <n v="0"/>
    <x v="3"/>
    <x v="1"/>
  </r>
  <r>
    <s v="O0805"/>
    <s v="2024-06-27"/>
    <s v="C015"/>
    <x v="1"/>
    <n v="3391.56"/>
    <n v="6"/>
    <n v="600.52"/>
    <n v="0.1"/>
    <x v="1"/>
    <x v="1"/>
  </r>
  <r>
    <s v="O0806"/>
    <s v="2024-03-27"/>
    <s v="C077"/>
    <x v="0"/>
    <n v="3311.51"/>
    <n v="10"/>
    <n v="930.22"/>
    <n v="0.15"/>
    <x v="2"/>
    <x v="0"/>
  </r>
  <r>
    <s v="O0807"/>
    <s v="2024-04-29"/>
    <s v="C080"/>
    <x v="1"/>
    <n v="814.51"/>
    <n v="6"/>
    <n v="51.69"/>
    <n v="0.05"/>
    <x v="3"/>
    <x v="1"/>
  </r>
  <r>
    <s v="O0808"/>
    <s v="2024-01-28"/>
    <s v="C097"/>
    <x v="1"/>
    <n v="3669.59"/>
    <n v="10"/>
    <n v="277.95"/>
    <n v="0.05"/>
    <x v="0"/>
    <x v="2"/>
  </r>
  <r>
    <s v="O0809"/>
    <s v="2024-02-26"/>
    <s v="C037"/>
    <x v="0"/>
    <n v="167.29"/>
    <n v="8"/>
    <n v="43.18"/>
    <n v="0.15"/>
    <x v="0"/>
    <x v="2"/>
  </r>
  <r>
    <s v="O0810"/>
    <s v="2024-04-18"/>
    <s v="C003"/>
    <x v="1"/>
    <n v="1726.2"/>
    <n v="9"/>
    <n v="469.53"/>
    <n v="0.2"/>
    <x v="2"/>
    <x v="0"/>
  </r>
  <r>
    <s v="O0811"/>
    <s v="2024-03-13"/>
    <s v="C097"/>
    <x v="2"/>
    <n v="1367.42"/>
    <n v="1"/>
    <n v="266.52"/>
    <n v="0.15"/>
    <x v="0"/>
    <x v="2"/>
  </r>
  <r>
    <s v="O0812"/>
    <s v="2024-05-10"/>
    <s v="C075"/>
    <x v="1"/>
    <n v="4539.6000000000004"/>
    <n v="1"/>
    <n v="944.42"/>
    <n v="0.1"/>
    <x v="0"/>
    <x v="2"/>
  </r>
  <r>
    <s v="O0813"/>
    <s v="2024-01-28"/>
    <s v="C026"/>
    <x v="0"/>
    <n v="3967.02"/>
    <n v="1"/>
    <n v="933.79"/>
    <n v="0"/>
    <x v="3"/>
    <x v="2"/>
  </r>
  <r>
    <s v="O0814"/>
    <s v="2024-12-03"/>
    <s v="C050"/>
    <x v="0"/>
    <n v="3335.83"/>
    <n v="2"/>
    <n v="830.27"/>
    <n v="0"/>
    <x v="1"/>
    <x v="0"/>
  </r>
  <r>
    <s v="O0815"/>
    <s v="2024-04-28"/>
    <s v="C038"/>
    <x v="0"/>
    <n v="4350.3100000000004"/>
    <n v="9"/>
    <n v="1065.06"/>
    <n v="0"/>
    <x v="2"/>
    <x v="2"/>
  </r>
  <r>
    <s v="O0816"/>
    <s v="2024-02-15"/>
    <s v="C041"/>
    <x v="1"/>
    <n v="2474.84"/>
    <n v="4"/>
    <n v="567.05999999999995"/>
    <n v="0.2"/>
    <x v="3"/>
    <x v="2"/>
  </r>
  <r>
    <s v="O0817"/>
    <s v="2024-01-21"/>
    <s v="C059"/>
    <x v="1"/>
    <n v="2847.37"/>
    <n v="9"/>
    <n v="750.97"/>
    <n v="0.1"/>
    <x v="2"/>
    <x v="2"/>
  </r>
  <r>
    <s v="O0818"/>
    <s v="2024-01-10"/>
    <s v="C043"/>
    <x v="0"/>
    <n v="2500.67"/>
    <n v="6"/>
    <n v="683.48"/>
    <n v="0.1"/>
    <x v="3"/>
    <x v="0"/>
  </r>
  <r>
    <s v="O0819"/>
    <s v="2024-09-13"/>
    <s v="C081"/>
    <x v="0"/>
    <n v="1581.4"/>
    <n v="1"/>
    <n v="551.59"/>
    <n v="0.1"/>
    <x v="0"/>
    <x v="0"/>
  </r>
  <r>
    <s v="O0820"/>
    <s v="2024-01-16"/>
    <s v="C050"/>
    <x v="2"/>
    <n v="4462.97"/>
    <n v="5"/>
    <n v="1314.16"/>
    <n v="0.05"/>
    <x v="1"/>
    <x v="0"/>
  </r>
  <r>
    <s v="O0821"/>
    <s v="2024-03-11"/>
    <s v="C020"/>
    <x v="1"/>
    <n v="1774.75"/>
    <n v="7"/>
    <n v="297.89999999999998"/>
    <n v="0.2"/>
    <x v="3"/>
    <x v="1"/>
  </r>
  <r>
    <s v="O0822"/>
    <s v="2024-04-26"/>
    <s v="C087"/>
    <x v="0"/>
    <n v="3101"/>
    <n v="4"/>
    <n v="736.98"/>
    <n v="0.2"/>
    <x v="2"/>
    <x v="0"/>
  </r>
  <r>
    <s v="O0823"/>
    <s v="2024-11-05"/>
    <s v="C020"/>
    <x v="0"/>
    <n v="2189.6799999999998"/>
    <n v="8"/>
    <n v="314.69"/>
    <n v="0.2"/>
    <x v="3"/>
    <x v="1"/>
  </r>
  <r>
    <s v="O0824"/>
    <s v="2024-10-04"/>
    <s v="C017"/>
    <x v="2"/>
    <n v="1113.1099999999999"/>
    <n v="4"/>
    <n v="101.93"/>
    <n v="0.05"/>
    <x v="2"/>
    <x v="1"/>
  </r>
  <r>
    <s v="O0825"/>
    <s v="2024-03-10"/>
    <s v="C040"/>
    <x v="0"/>
    <n v="3473.81"/>
    <n v="3"/>
    <n v="1110.21"/>
    <n v="0.2"/>
    <x v="1"/>
    <x v="1"/>
  </r>
  <r>
    <s v="O0826"/>
    <s v="2024-03-01"/>
    <s v="C021"/>
    <x v="1"/>
    <n v="1655.73"/>
    <n v="6"/>
    <n v="359.63"/>
    <n v="0.05"/>
    <x v="3"/>
    <x v="0"/>
  </r>
  <r>
    <s v="O0827"/>
    <s v="2024-07-30"/>
    <s v="C094"/>
    <x v="0"/>
    <n v="244.47"/>
    <n v="5"/>
    <n v="35.6"/>
    <n v="0.15"/>
    <x v="1"/>
    <x v="0"/>
  </r>
  <r>
    <s v="O0828"/>
    <s v="2024-05-20"/>
    <s v="C096"/>
    <x v="1"/>
    <n v="4675.47"/>
    <n v="4"/>
    <n v="1487.92"/>
    <n v="0"/>
    <x v="0"/>
    <x v="1"/>
  </r>
  <r>
    <s v="O0829"/>
    <s v="2024-11-09"/>
    <s v="C017"/>
    <x v="2"/>
    <n v="1005.26"/>
    <n v="5"/>
    <n v="280.2"/>
    <n v="0.2"/>
    <x v="2"/>
    <x v="1"/>
  </r>
  <r>
    <s v="O0830"/>
    <s v="2024-04-28"/>
    <s v="C073"/>
    <x v="2"/>
    <n v="3100.57"/>
    <n v="1"/>
    <n v="709.75"/>
    <n v="0.1"/>
    <x v="3"/>
    <x v="2"/>
  </r>
  <r>
    <s v="O0831"/>
    <s v="2024-09-14"/>
    <s v="C011"/>
    <x v="2"/>
    <n v="3471.89"/>
    <n v="8"/>
    <n v="670.01"/>
    <n v="0.1"/>
    <x v="1"/>
    <x v="0"/>
  </r>
  <r>
    <s v="O0832"/>
    <s v="2024-03-11"/>
    <s v="C024"/>
    <x v="1"/>
    <n v="4275.43"/>
    <n v="4"/>
    <n v="844.11"/>
    <n v="0.05"/>
    <x v="0"/>
    <x v="2"/>
  </r>
  <r>
    <s v="O0833"/>
    <s v="2024-05-18"/>
    <s v="C005"/>
    <x v="0"/>
    <n v="2102.09"/>
    <n v="4"/>
    <n v="716.07"/>
    <n v="0.05"/>
    <x v="0"/>
    <x v="2"/>
  </r>
  <r>
    <s v="O0834"/>
    <s v="2024-08-12"/>
    <s v="C097"/>
    <x v="2"/>
    <n v="1102.3499999999999"/>
    <n v="8"/>
    <n v="113.68"/>
    <n v="0.1"/>
    <x v="0"/>
    <x v="2"/>
  </r>
  <r>
    <s v="O0835"/>
    <s v="2024-01-22"/>
    <s v="C059"/>
    <x v="2"/>
    <n v="4449.18"/>
    <n v="7"/>
    <n v="793.14"/>
    <n v="0.1"/>
    <x v="2"/>
    <x v="2"/>
  </r>
  <r>
    <s v="O0836"/>
    <s v="2024-10-31"/>
    <s v="C051"/>
    <x v="2"/>
    <n v="3096.37"/>
    <n v="9"/>
    <n v="844.51"/>
    <n v="0"/>
    <x v="3"/>
    <x v="0"/>
  </r>
  <r>
    <s v="O0837"/>
    <s v="2024-01-22"/>
    <s v="C067"/>
    <x v="1"/>
    <n v="635.65"/>
    <n v="9"/>
    <n v="118.91"/>
    <n v="0.2"/>
    <x v="0"/>
    <x v="2"/>
  </r>
  <r>
    <s v="O0838"/>
    <s v="2024-07-17"/>
    <s v="C051"/>
    <x v="2"/>
    <n v="4920.7700000000004"/>
    <n v="1"/>
    <n v="303.98"/>
    <n v="0.05"/>
    <x v="3"/>
    <x v="0"/>
  </r>
  <r>
    <s v="O0839"/>
    <s v="2024-05-26"/>
    <s v="C038"/>
    <x v="0"/>
    <n v="2253.81"/>
    <n v="3"/>
    <n v="710.67"/>
    <n v="0.15"/>
    <x v="2"/>
    <x v="2"/>
  </r>
  <r>
    <s v="O0840"/>
    <s v="2024-09-21"/>
    <s v="C038"/>
    <x v="1"/>
    <n v="3104.36"/>
    <n v="8"/>
    <n v="206.02"/>
    <n v="0.15"/>
    <x v="2"/>
    <x v="2"/>
  </r>
  <r>
    <s v="O0841"/>
    <s v="2024-10-26"/>
    <s v="C012"/>
    <x v="2"/>
    <n v="3640.97"/>
    <n v="9"/>
    <n v="305.66000000000003"/>
    <n v="0.05"/>
    <x v="1"/>
    <x v="2"/>
  </r>
  <r>
    <s v="O0842"/>
    <s v="2024-04-01"/>
    <s v="C051"/>
    <x v="0"/>
    <n v="2126.44"/>
    <n v="10"/>
    <n v="393.96"/>
    <n v="0.05"/>
    <x v="3"/>
    <x v="0"/>
  </r>
  <r>
    <s v="O0843"/>
    <s v="2024-11-28"/>
    <s v="C059"/>
    <x v="2"/>
    <n v="541.88"/>
    <n v="3"/>
    <n v="79.78"/>
    <n v="0"/>
    <x v="2"/>
    <x v="2"/>
  </r>
  <r>
    <s v="O0844"/>
    <s v="2024-07-04"/>
    <s v="C012"/>
    <x v="1"/>
    <n v="659.41"/>
    <n v="9"/>
    <n v="121.87"/>
    <n v="0.15"/>
    <x v="1"/>
    <x v="2"/>
  </r>
  <r>
    <s v="O0845"/>
    <s v="2024-03-22"/>
    <s v="C094"/>
    <x v="0"/>
    <n v="3976.23"/>
    <n v="9"/>
    <n v="809.16"/>
    <n v="0.15"/>
    <x v="1"/>
    <x v="0"/>
  </r>
  <r>
    <s v="O0846"/>
    <s v="2024-10-16"/>
    <s v="C006"/>
    <x v="2"/>
    <n v="3864.48"/>
    <n v="3"/>
    <n v="1250.8399999999999"/>
    <n v="0.05"/>
    <x v="1"/>
    <x v="0"/>
  </r>
  <r>
    <s v="O0847"/>
    <s v="2024-08-02"/>
    <s v="C019"/>
    <x v="0"/>
    <n v="976.45"/>
    <n v="5"/>
    <n v="257.41000000000003"/>
    <n v="0.15"/>
    <x v="1"/>
    <x v="0"/>
  </r>
  <r>
    <s v="O0848"/>
    <s v="2024-03-08"/>
    <s v="C037"/>
    <x v="1"/>
    <n v="3169.62"/>
    <n v="1"/>
    <n v="270.26"/>
    <n v="0.2"/>
    <x v="0"/>
    <x v="2"/>
  </r>
  <r>
    <s v="O0849"/>
    <s v="2024-09-12"/>
    <s v="C098"/>
    <x v="2"/>
    <n v="1340.24"/>
    <n v="1"/>
    <n v="251.42"/>
    <n v="0.2"/>
    <x v="2"/>
    <x v="2"/>
  </r>
  <r>
    <s v="O0850"/>
    <s v="2024-08-31"/>
    <s v="C064"/>
    <x v="0"/>
    <n v="1265.5999999999999"/>
    <n v="7"/>
    <n v="286.86"/>
    <n v="0.15"/>
    <x v="1"/>
    <x v="2"/>
  </r>
  <r>
    <s v="O0851"/>
    <s v="2024-10-07"/>
    <s v="C011"/>
    <x v="0"/>
    <n v="3045.96"/>
    <n v="10"/>
    <n v="158.30000000000001"/>
    <n v="0.2"/>
    <x v="1"/>
    <x v="0"/>
  </r>
  <r>
    <s v="O0852"/>
    <s v="2024-11-30"/>
    <s v="C027"/>
    <x v="0"/>
    <n v="339.7"/>
    <n v="1"/>
    <n v="32.090000000000003"/>
    <n v="0.05"/>
    <x v="2"/>
    <x v="2"/>
  </r>
  <r>
    <s v="O0853"/>
    <s v="2024-06-01"/>
    <s v="C005"/>
    <x v="0"/>
    <n v="3368.28"/>
    <n v="2"/>
    <n v="1015.21"/>
    <n v="0"/>
    <x v="0"/>
    <x v="2"/>
  </r>
  <r>
    <s v="O0854"/>
    <s v="2024-12-10"/>
    <s v="C014"/>
    <x v="0"/>
    <n v="2143.09"/>
    <n v="10"/>
    <n v="221.76"/>
    <n v="0.2"/>
    <x v="2"/>
    <x v="2"/>
  </r>
  <r>
    <s v="O0855"/>
    <s v="2024-08-21"/>
    <s v="C074"/>
    <x v="2"/>
    <n v="3957.81"/>
    <n v="10"/>
    <n v="408.55"/>
    <n v="0.1"/>
    <x v="2"/>
    <x v="2"/>
  </r>
  <r>
    <s v="O0856"/>
    <s v="2024-07-07"/>
    <s v="C005"/>
    <x v="0"/>
    <n v="556.32000000000005"/>
    <n v="2"/>
    <n v="77.77"/>
    <n v="0.15"/>
    <x v="0"/>
    <x v="2"/>
  </r>
  <r>
    <s v="O0857"/>
    <s v="2024-03-03"/>
    <s v="C071"/>
    <x v="2"/>
    <n v="418.14"/>
    <n v="5"/>
    <n v="79.97"/>
    <n v="0.1"/>
    <x v="2"/>
    <x v="1"/>
  </r>
  <r>
    <s v="O0858"/>
    <s v="2024-04-17"/>
    <s v="C068"/>
    <x v="2"/>
    <n v="2127.41"/>
    <n v="1"/>
    <n v="240.3"/>
    <n v="0"/>
    <x v="3"/>
    <x v="2"/>
  </r>
  <r>
    <s v="O0859"/>
    <s v="2024-02-14"/>
    <s v="C074"/>
    <x v="0"/>
    <n v="3675.67"/>
    <n v="10"/>
    <n v="877.36"/>
    <n v="0.1"/>
    <x v="2"/>
    <x v="2"/>
  </r>
  <r>
    <s v="O0860"/>
    <s v="2024-09-26"/>
    <s v="C055"/>
    <x v="2"/>
    <n v="3083.34"/>
    <n v="10"/>
    <n v="446.92"/>
    <n v="0.1"/>
    <x v="1"/>
    <x v="1"/>
  </r>
  <r>
    <s v="O0861"/>
    <s v="2024-11-19"/>
    <s v="C017"/>
    <x v="0"/>
    <n v="3110.02"/>
    <n v="8"/>
    <n v="618.64"/>
    <n v="0.05"/>
    <x v="2"/>
    <x v="1"/>
  </r>
  <r>
    <s v="O0862"/>
    <s v="2024-04-09"/>
    <s v="C079"/>
    <x v="1"/>
    <n v="1240.3399999999999"/>
    <n v="2"/>
    <n v="170.11"/>
    <n v="0"/>
    <x v="0"/>
    <x v="2"/>
  </r>
  <r>
    <s v="O0863"/>
    <s v="2024-04-16"/>
    <s v="C060"/>
    <x v="2"/>
    <n v="3164.76"/>
    <n v="7"/>
    <n v="270.2"/>
    <n v="0.15"/>
    <x v="2"/>
    <x v="2"/>
  </r>
  <r>
    <s v="O0864"/>
    <s v="2024-11-22"/>
    <s v="C006"/>
    <x v="1"/>
    <n v="1735.58"/>
    <n v="1"/>
    <n v="378.57"/>
    <n v="0.05"/>
    <x v="1"/>
    <x v="0"/>
  </r>
  <r>
    <s v="O0865"/>
    <s v="2024-06-06"/>
    <s v="C089"/>
    <x v="0"/>
    <n v="1479.97"/>
    <n v="9"/>
    <n v="424.84"/>
    <n v="0.2"/>
    <x v="2"/>
    <x v="1"/>
  </r>
  <r>
    <s v="O0866"/>
    <s v="2024-06-19"/>
    <s v="C042"/>
    <x v="0"/>
    <n v="3858.46"/>
    <n v="7"/>
    <n v="324.69"/>
    <n v="0.2"/>
    <x v="2"/>
    <x v="2"/>
  </r>
  <r>
    <s v="O0867"/>
    <s v="2024-04-09"/>
    <s v="C079"/>
    <x v="0"/>
    <n v="4804.55"/>
    <n v="6"/>
    <n v="1439.5"/>
    <n v="0.15"/>
    <x v="0"/>
    <x v="2"/>
  </r>
  <r>
    <s v="O0868"/>
    <s v="2024-09-03"/>
    <s v="C061"/>
    <x v="1"/>
    <n v="4006.55"/>
    <n v="8"/>
    <n v="976.38"/>
    <n v="0.2"/>
    <x v="1"/>
    <x v="2"/>
  </r>
  <r>
    <s v="O0869"/>
    <s v="2024-01-29"/>
    <s v="C043"/>
    <x v="2"/>
    <n v="2366.1"/>
    <n v="5"/>
    <n v="696.22"/>
    <n v="0.2"/>
    <x v="3"/>
    <x v="0"/>
  </r>
  <r>
    <s v="O0870"/>
    <s v="2024-01-10"/>
    <s v="C093"/>
    <x v="1"/>
    <n v="3423.17"/>
    <n v="10"/>
    <n v="741.3"/>
    <n v="0.1"/>
    <x v="3"/>
    <x v="1"/>
  </r>
  <r>
    <s v="O0871"/>
    <s v="2024-01-16"/>
    <s v="C046"/>
    <x v="0"/>
    <n v="424.44"/>
    <n v="7"/>
    <n v="40.229999999999997"/>
    <n v="0.2"/>
    <x v="3"/>
    <x v="0"/>
  </r>
  <r>
    <s v="O0872"/>
    <s v="2024-10-31"/>
    <s v="C022"/>
    <x v="1"/>
    <n v="2897.81"/>
    <n v="5"/>
    <n v="483.56"/>
    <n v="0.1"/>
    <x v="1"/>
    <x v="2"/>
  </r>
  <r>
    <s v="O0873"/>
    <s v="2024-09-11"/>
    <s v="C091"/>
    <x v="1"/>
    <n v="254.98"/>
    <n v="6"/>
    <n v="44.41"/>
    <n v="0.15"/>
    <x v="2"/>
    <x v="2"/>
  </r>
  <r>
    <s v="O0874"/>
    <s v="2024-02-27"/>
    <s v="C039"/>
    <x v="0"/>
    <n v="1159.0899999999999"/>
    <n v="1"/>
    <n v="163.08000000000001"/>
    <n v="0.05"/>
    <x v="2"/>
    <x v="0"/>
  </r>
  <r>
    <s v="O0875"/>
    <s v="2024-09-04"/>
    <s v="C012"/>
    <x v="2"/>
    <n v="2274.4899999999998"/>
    <n v="3"/>
    <n v="130.74"/>
    <n v="0.05"/>
    <x v="1"/>
    <x v="2"/>
  </r>
  <r>
    <s v="O0876"/>
    <s v="2024-09-25"/>
    <s v="C044"/>
    <x v="0"/>
    <n v="4625.82"/>
    <n v="6"/>
    <n v="1247.73"/>
    <n v="0.05"/>
    <x v="2"/>
    <x v="0"/>
  </r>
  <r>
    <s v="O0877"/>
    <s v="2024-09-21"/>
    <s v="C099"/>
    <x v="2"/>
    <n v="4371.82"/>
    <n v="3"/>
    <n v="1296.8599999999999"/>
    <n v="0.05"/>
    <x v="2"/>
    <x v="0"/>
  </r>
  <r>
    <s v="O0878"/>
    <s v="2024-09-24"/>
    <s v="C093"/>
    <x v="1"/>
    <n v="279.11"/>
    <n v="1"/>
    <n v="46.41"/>
    <n v="0.1"/>
    <x v="3"/>
    <x v="1"/>
  </r>
  <r>
    <s v="O0879"/>
    <s v="2024-02-14"/>
    <s v="C006"/>
    <x v="0"/>
    <n v="3466.56"/>
    <n v="8"/>
    <n v="791.37"/>
    <n v="0"/>
    <x v="1"/>
    <x v="0"/>
  </r>
  <r>
    <s v="O0880"/>
    <s v="2024-06-08"/>
    <s v="C014"/>
    <x v="1"/>
    <n v="2650.83"/>
    <n v="10"/>
    <n v="656.6"/>
    <n v="0.1"/>
    <x v="2"/>
    <x v="2"/>
  </r>
  <r>
    <s v="O0881"/>
    <s v="2024-04-08"/>
    <s v="C082"/>
    <x v="0"/>
    <n v="4471.46"/>
    <n v="5"/>
    <n v="654.01"/>
    <n v="0.2"/>
    <x v="3"/>
    <x v="1"/>
  </r>
  <r>
    <s v="O0882"/>
    <s v="2024-05-19"/>
    <s v="C041"/>
    <x v="1"/>
    <n v="3886.66"/>
    <n v="3"/>
    <n v="976.86"/>
    <n v="0.1"/>
    <x v="3"/>
    <x v="2"/>
  </r>
  <r>
    <s v="O0883"/>
    <s v="2024-09-20"/>
    <s v="C015"/>
    <x v="1"/>
    <n v="174.76"/>
    <n v="4"/>
    <n v="41.4"/>
    <n v="0.2"/>
    <x v="1"/>
    <x v="1"/>
  </r>
  <r>
    <s v="O0884"/>
    <s v="2024-12-26"/>
    <s v="C045"/>
    <x v="0"/>
    <n v="2791.89"/>
    <n v="10"/>
    <n v="366.62"/>
    <n v="0.05"/>
    <x v="3"/>
    <x v="1"/>
  </r>
  <r>
    <s v="O0885"/>
    <s v="2024-06-22"/>
    <s v="C022"/>
    <x v="2"/>
    <n v="449.09"/>
    <n v="8"/>
    <n v="105.08"/>
    <n v="0"/>
    <x v="1"/>
    <x v="2"/>
  </r>
  <r>
    <s v="O0886"/>
    <s v="2024-01-26"/>
    <s v="C017"/>
    <x v="1"/>
    <n v="242.06"/>
    <n v="7"/>
    <n v="77.7"/>
    <n v="0"/>
    <x v="2"/>
    <x v="1"/>
  </r>
  <r>
    <s v="O0887"/>
    <s v="2024-11-01"/>
    <s v="C012"/>
    <x v="2"/>
    <n v="2189.6799999999998"/>
    <n v="8"/>
    <n v="227.06"/>
    <n v="0.2"/>
    <x v="1"/>
    <x v="2"/>
  </r>
  <r>
    <s v="O0888"/>
    <s v="2024-12-09"/>
    <s v="C046"/>
    <x v="2"/>
    <n v="1630.96"/>
    <n v="2"/>
    <n v="481.51"/>
    <n v="0.15"/>
    <x v="3"/>
    <x v="0"/>
  </r>
  <r>
    <s v="O0889"/>
    <s v="2024-12-23"/>
    <s v="C073"/>
    <x v="0"/>
    <n v="745.8"/>
    <n v="2"/>
    <n v="219.16"/>
    <n v="0.15"/>
    <x v="3"/>
    <x v="2"/>
  </r>
  <r>
    <s v="O0890"/>
    <s v="2024-08-26"/>
    <s v="C040"/>
    <x v="0"/>
    <n v="3453.94"/>
    <n v="4"/>
    <n v="908.61"/>
    <n v="0.05"/>
    <x v="1"/>
    <x v="1"/>
  </r>
  <r>
    <s v="O0891"/>
    <s v="2024-07-05"/>
    <s v="C019"/>
    <x v="0"/>
    <n v="4319.37"/>
    <n v="3"/>
    <n v="1015.41"/>
    <n v="0.1"/>
    <x v="1"/>
    <x v="0"/>
  </r>
  <r>
    <s v="O0892"/>
    <s v="2024-08-31"/>
    <s v="C042"/>
    <x v="1"/>
    <n v="2321.09"/>
    <n v="6"/>
    <n v="137.13"/>
    <n v="0.15"/>
    <x v="2"/>
    <x v="2"/>
  </r>
  <r>
    <s v="O0893"/>
    <s v="2024-06-27"/>
    <s v="C060"/>
    <x v="2"/>
    <n v="4244.25"/>
    <n v="10"/>
    <n v="571.6"/>
    <n v="0.05"/>
    <x v="2"/>
    <x v="2"/>
  </r>
  <r>
    <s v="O0894"/>
    <s v="2024-02-24"/>
    <s v="C066"/>
    <x v="0"/>
    <n v="604.37"/>
    <n v="9"/>
    <n v="178.45"/>
    <n v="0"/>
    <x v="0"/>
    <x v="2"/>
  </r>
  <r>
    <s v="O0895"/>
    <s v="2024-07-30"/>
    <s v="C039"/>
    <x v="1"/>
    <n v="2710.45"/>
    <n v="10"/>
    <n v="461.44"/>
    <n v="0.05"/>
    <x v="2"/>
    <x v="0"/>
  </r>
  <r>
    <s v="O0896"/>
    <s v="2024-02-03"/>
    <s v="C071"/>
    <x v="0"/>
    <n v="879.2"/>
    <n v="4"/>
    <n v="171.19"/>
    <n v="0.2"/>
    <x v="2"/>
    <x v="1"/>
  </r>
  <r>
    <s v="O0897"/>
    <s v="2024-06-24"/>
    <s v="C056"/>
    <x v="2"/>
    <n v="3943.14"/>
    <n v="4"/>
    <n v="712.16"/>
    <n v="0.05"/>
    <x v="2"/>
    <x v="0"/>
  </r>
  <r>
    <s v="O0898"/>
    <s v="2024-12-30"/>
    <s v="C085"/>
    <x v="2"/>
    <n v="3381.07"/>
    <n v="8"/>
    <n v="919.01"/>
    <n v="0"/>
    <x v="0"/>
    <x v="0"/>
  </r>
  <r>
    <s v="O0899"/>
    <s v="2024-02-19"/>
    <s v="C076"/>
    <x v="0"/>
    <n v="3020.77"/>
    <n v="3"/>
    <n v="445.91"/>
    <n v="0.1"/>
    <x v="3"/>
    <x v="2"/>
  </r>
  <r>
    <s v="O0900"/>
    <s v="2024-11-01"/>
    <s v="C052"/>
    <x v="0"/>
    <n v="441.08"/>
    <n v="6"/>
    <n v="36.44"/>
    <n v="0.15"/>
    <x v="2"/>
    <x v="2"/>
  </r>
  <r>
    <s v="O0901"/>
    <s v="2024-03-12"/>
    <s v="C083"/>
    <x v="2"/>
    <n v="3334.81"/>
    <n v="1"/>
    <n v="257.31"/>
    <n v="0.05"/>
    <x v="2"/>
    <x v="0"/>
  </r>
  <r>
    <s v="O0902"/>
    <s v="2024-07-18"/>
    <s v="C085"/>
    <x v="2"/>
    <n v="831.16"/>
    <n v="10"/>
    <n v="174.03"/>
    <n v="0.15"/>
    <x v="0"/>
    <x v="0"/>
  </r>
  <r>
    <s v="O0903"/>
    <s v="2024-06-02"/>
    <s v="C026"/>
    <x v="2"/>
    <n v="1107.74"/>
    <n v="5"/>
    <n v="346.97"/>
    <n v="0.15"/>
    <x v="3"/>
    <x v="2"/>
  </r>
  <r>
    <s v="O0904"/>
    <s v="2024-02-15"/>
    <s v="C092"/>
    <x v="2"/>
    <n v="4914.6400000000003"/>
    <n v="1"/>
    <n v="753.31"/>
    <n v="0.2"/>
    <x v="3"/>
    <x v="1"/>
  </r>
  <r>
    <s v="O0905"/>
    <s v="2024-05-30"/>
    <s v="C066"/>
    <x v="1"/>
    <n v="2080.5700000000002"/>
    <n v="6"/>
    <n v="183.65"/>
    <n v="0.2"/>
    <x v="0"/>
    <x v="2"/>
  </r>
  <r>
    <s v="O0906"/>
    <s v="2024-07-02"/>
    <s v="C007"/>
    <x v="1"/>
    <n v="104.13"/>
    <n v="5"/>
    <n v="22.7"/>
    <n v="0"/>
    <x v="0"/>
    <x v="0"/>
  </r>
  <r>
    <s v="O0907"/>
    <s v="2024-11-16"/>
    <s v="C031"/>
    <x v="0"/>
    <n v="2215.41"/>
    <n v="7"/>
    <n v="503.01"/>
    <n v="0.15"/>
    <x v="0"/>
    <x v="1"/>
  </r>
  <r>
    <s v="O0908"/>
    <s v="2024-03-29"/>
    <s v="C049"/>
    <x v="0"/>
    <n v="2232.4299999999998"/>
    <n v="3"/>
    <n v="253.08"/>
    <n v="0.05"/>
    <x v="1"/>
    <x v="1"/>
  </r>
  <r>
    <s v="O0909"/>
    <s v="2024-08-01"/>
    <s v="C072"/>
    <x v="1"/>
    <n v="1984.52"/>
    <n v="5"/>
    <n v="649.62"/>
    <n v="0.05"/>
    <x v="0"/>
    <x v="2"/>
  </r>
  <r>
    <s v="O0910"/>
    <s v="2024-03-14"/>
    <s v="C018"/>
    <x v="2"/>
    <n v="156.85"/>
    <n v="8"/>
    <n v="38.35"/>
    <n v="0.15"/>
    <x v="0"/>
    <x v="0"/>
  </r>
  <r>
    <s v="O0911"/>
    <s v="2024-07-31"/>
    <s v="C018"/>
    <x v="0"/>
    <n v="514.85"/>
    <n v="10"/>
    <n v="124.94"/>
    <n v="0.15"/>
    <x v="0"/>
    <x v="0"/>
  </r>
  <r>
    <s v="O0912"/>
    <s v="2024-10-09"/>
    <s v="C080"/>
    <x v="0"/>
    <n v="981.01"/>
    <n v="7"/>
    <n v="198.97"/>
    <n v="0.1"/>
    <x v="3"/>
    <x v="1"/>
  </r>
  <r>
    <s v="O0913"/>
    <s v="2024-10-22"/>
    <s v="C029"/>
    <x v="0"/>
    <n v="1010.38"/>
    <n v="4"/>
    <n v="233.77"/>
    <n v="0.2"/>
    <x v="2"/>
    <x v="1"/>
  </r>
  <r>
    <s v="O0914"/>
    <s v="2024-07-06"/>
    <s v="C035"/>
    <x v="1"/>
    <n v="2113.11"/>
    <n v="1"/>
    <n v="451.89"/>
    <n v="0.2"/>
    <x v="2"/>
    <x v="2"/>
  </r>
  <r>
    <s v="O0915"/>
    <s v="2024-09-03"/>
    <s v="C062"/>
    <x v="2"/>
    <n v="3553.92"/>
    <n v="2"/>
    <n v="298.35000000000002"/>
    <n v="0.05"/>
    <x v="0"/>
    <x v="1"/>
  </r>
  <r>
    <s v="O0916"/>
    <s v="2024-05-23"/>
    <s v="C094"/>
    <x v="0"/>
    <n v="3683.34"/>
    <n v="9"/>
    <n v="1271.02"/>
    <n v="0"/>
    <x v="1"/>
    <x v="0"/>
  </r>
  <r>
    <s v="O0917"/>
    <s v="2024-08-29"/>
    <s v="C067"/>
    <x v="2"/>
    <n v="4460.59"/>
    <n v="2"/>
    <n v="341.39"/>
    <n v="0.2"/>
    <x v="0"/>
    <x v="2"/>
  </r>
  <r>
    <s v="O0918"/>
    <s v="2024-06-24"/>
    <s v="C075"/>
    <x v="2"/>
    <n v="1631.25"/>
    <n v="1"/>
    <n v="107.39"/>
    <n v="0.15"/>
    <x v="0"/>
    <x v="2"/>
  </r>
  <r>
    <s v="O0919"/>
    <s v="2024-06-18"/>
    <s v="C059"/>
    <x v="0"/>
    <n v="2612.0500000000002"/>
    <n v="6"/>
    <n v="498.3"/>
    <n v="0.1"/>
    <x v="2"/>
    <x v="2"/>
  </r>
  <r>
    <s v="O0920"/>
    <s v="2024-11-01"/>
    <s v="C038"/>
    <x v="2"/>
    <n v="920.79"/>
    <n v="5"/>
    <n v="238.04"/>
    <n v="0.2"/>
    <x v="2"/>
    <x v="2"/>
  </r>
  <r>
    <s v="O0921"/>
    <s v="2024-03-27"/>
    <s v="C034"/>
    <x v="2"/>
    <n v="400.95"/>
    <n v="1"/>
    <n v="76.959999999999994"/>
    <n v="0.1"/>
    <x v="3"/>
    <x v="1"/>
  </r>
  <r>
    <s v="O0922"/>
    <s v="2024-02-12"/>
    <s v="C095"/>
    <x v="1"/>
    <n v="3159.15"/>
    <n v="9"/>
    <n v="429.79"/>
    <n v="0"/>
    <x v="2"/>
    <x v="0"/>
  </r>
  <r>
    <s v="O0923"/>
    <s v="2024-05-20"/>
    <s v="C036"/>
    <x v="0"/>
    <n v="1335.05"/>
    <n v="1"/>
    <n v="313.39"/>
    <n v="0"/>
    <x v="3"/>
    <x v="2"/>
  </r>
  <r>
    <s v="O0924"/>
    <s v="2024-03-18"/>
    <s v="C078"/>
    <x v="2"/>
    <n v="955.61"/>
    <n v="8"/>
    <n v="217.43"/>
    <n v="0.1"/>
    <x v="3"/>
    <x v="0"/>
  </r>
  <r>
    <s v="O0925"/>
    <s v="2024-09-05"/>
    <s v="C023"/>
    <x v="1"/>
    <n v="1380.14"/>
    <n v="9"/>
    <n v="359.16"/>
    <n v="0"/>
    <x v="0"/>
    <x v="1"/>
  </r>
  <r>
    <s v="O0926"/>
    <s v="2024-10-31"/>
    <s v="C044"/>
    <x v="1"/>
    <n v="4921.95"/>
    <n v="8"/>
    <n v="1674.47"/>
    <n v="0.15"/>
    <x v="2"/>
    <x v="0"/>
  </r>
  <r>
    <s v="O0927"/>
    <s v="2024-11-22"/>
    <s v="C099"/>
    <x v="1"/>
    <n v="1977.52"/>
    <n v="4"/>
    <n v="490.82"/>
    <n v="0.2"/>
    <x v="2"/>
    <x v="0"/>
  </r>
  <r>
    <s v="O0928"/>
    <s v="2024-05-15"/>
    <s v="C094"/>
    <x v="1"/>
    <n v="4224.9799999999996"/>
    <n v="1"/>
    <n v="280.11"/>
    <n v="0.05"/>
    <x v="1"/>
    <x v="0"/>
  </r>
  <r>
    <s v="O0929"/>
    <s v="2024-09-29"/>
    <s v="C060"/>
    <x v="1"/>
    <n v="2053.85"/>
    <n v="7"/>
    <n v="288.38"/>
    <n v="0.15"/>
    <x v="2"/>
    <x v="2"/>
  </r>
  <r>
    <s v="O0930"/>
    <s v="2024-08-10"/>
    <s v="C061"/>
    <x v="1"/>
    <n v="1386.86"/>
    <n v="5"/>
    <n v="290.04000000000002"/>
    <n v="0.15"/>
    <x v="1"/>
    <x v="2"/>
  </r>
  <r>
    <s v="O0931"/>
    <s v="2024-12-15"/>
    <s v="C049"/>
    <x v="1"/>
    <n v="3424.62"/>
    <n v="2"/>
    <n v="1159.33"/>
    <n v="0.2"/>
    <x v="1"/>
    <x v="1"/>
  </r>
  <r>
    <s v="O0932"/>
    <s v="2024-11-08"/>
    <s v="C082"/>
    <x v="2"/>
    <n v="1833.76"/>
    <n v="5"/>
    <n v="556.13"/>
    <n v="0.1"/>
    <x v="3"/>
    <x v="1"/>
  </r>
  <r>
    <s v="O0933"/>
    <s v="2024-12-01"/>
    <s v="C035"/>
    <x v="2"/>
    <n v="1408.73"/>
    <n v="7"/>
    <n v="111.97"/>
    <n v="0.15"/>
    <x v="2"/>
    <x v="2"/>
  </r>
  <r>
    <s v="O0934"/>
    <s v="2024-12-10"/>
    <s v="C099"/>
    <x v="2"/>
    <n v="3408.93"/>
    <n v="4"/>
    <n v="417.73"/>
    <n v="0.2"/>
    <x v="2"/>
    <x v="0"/>
  </r>
  <r>
    <s v="O0935"/>
    <s v="2024-06-09"/>
    <s v="C044"/>
    <x v="2"/>
    <n v="3420.82"/>
    <n v="1"/>
    <n v="1190.32"/>
    <n v="0"/>
    <x v="2"/>
    <x v="0"/>
  </r>
  <r>
    <s v="O0936"/>
    <s v="2024-02-23"/>
    <s v="C009"/>
    <x v="2"/>
    <n v="158.61000000000001"/>
    <n v="8"/>
    <n v="12.58"/>
    <n v="0.1"/>
    <x v="0"/>
    <x v="2"/>
  </r>
  <r>
    <s v="O0937"/>
    <s v="2024-01-18"/>
    <s v="C029"/>
    <x v="1"/>
    <n v="3653.73"/>
    <n v="10"/>
    <n v="458.79"/>
    <n v="0"/>
    <x v="2"/>
    <x v="1"/>
  </r>
  <r>
    <s v="O0938"/>
    <s v="2024-04-21"/>
    <s v="C008"/>
    <x v="2"/>
    <n v="4698.68"/>
    <n v="2"/>
    <n v="1160.49"/>
    <n v="0"/>
    <x v="2"/>
    <x v="0"/>
  </r>
  <r>
    <s v="O0939"/>
    <s v="2024-12-02"/>
    <s v="C012"/>
    <x v="2"/>
    <n v="4296.5600000000004"/>
    <n v="10"/>
    <n v="382.27"/>
    <n v="0.05"/>
    <x v="1"/>
    <x v="2"/>
  </r>
  <r>
    <s v="O0940"/>
    <s v="2024-08-27"/>
    <s v="C015"/>
    <x v="2"/>
    <n v="3508.7"/>
    <n v="2"/>
    <n v="442.1"/>
    <n v="0.15"/>
    <x v="1"/>
    <x v="1"/>
  </r>
  <r>
    <s v="O0941"/>
    <s v="2024-12-07"/>
    <s v="C036"/>
    <x v="0"/>
    <n v="3869.86"/>
    <n v="5"/>
    <n v="997.13"/>
    <n v="0.05"/>
    <x v="3"/>
    <x v="2"/>
  </r>
  <r>
    <s v="O0942"/>
    <s v="2024-07-14"/>
    <s v="C100"/>
    <x v="0"/>
    <n v="462.59"/>
    <n v="6"/>
    <n v="130.97"/>
    <n v="0"/>
    <x v="0"/>
    <x v="2"/>
  </r>
  <r>
    <s v="O0943"/>
    <s v="2024-08-13"/>
    <s v="C034"/>
    <x v="1"/>
    <n v="4782.47"/>
    <n v="8"/>
    <n v="618.85"/>
    <n v="0.05"/>
    <x v="3"/>
    <x v="1"/>
  </r>
  <r>
    <s v="O0944"/>
    <s v="2024-02-25"/>
    <s v="C079"/>
    <x v="1"/>
    <n v="2023.91"/>
    <n v="9"/>
    <n v="493.12"/>
    <n v="0.15"/>
    <x v="0"/>
    <x v="2"/>
  </r>
  <r>
    <s v="O0945"/>
    <s v="2024-08-14"/>
    <s v="C028"/>
    <x v="2"/>
    <n v="3108.43"/>
    <n v="5"/>
    <n v="254.5"/>
    <n v="0"/>
    <x v="0"/>
    <x v="0"/>
  </r>
  <r>
    <s v="O0946"/>
    <s v="2024-05-08"/>
    <s v="C005"/>
    <x v="0"/>
    <n v="457.31"/>
    <n v="1"/>
    <n v="101.25"/>
    <n v="0.15"/>
    <x v="0"/>
    <x v="2"/>
  </r>
  <r>
    <s v="O0947"/>
    <s v="2024-01-20"/>
    <s v="C020"/>
    <x v="2"/>
    <n v="3299.04"/>
    <n v="7"/>
    <n v="165.81"/>
    <n v="0.1"/>
    <x v="3"/>
    <x v="1"/>
  </r>
  <r>
    <s v="O0948"/>
    <s v="2024-10-21"/>
    <s v="C020"/>
    <x v="1"/>
    <n v="3530.27"/>
    <n v="9"/>
    <n v="1134.58"/>
    <n v="0.15"/>
    <x v="3"/>
    <x v="1"/>
  </r>
  <r>
    <s v="O0949"/>
    <s v="2024-02-05"/>
    <s v="C062"/>
    <x v="2"/>
    <n v="2236.6799999999998"/>
    <n v="4"/>
    <n v="678.19"/>
    <n v="0"/>
    <x v="0"/>
    <x v="1"/>
  </r>
  <r>
    <s v="O0950"/>
    <s v="2024-09-03"/>
    <s v="C050"/>
    <x v="1"/>
    <n v="4775.3599999999997"/>
    <n v="10"/>
    <n v="1410.61"/>
    <n v="0.2"/>
    <x v="1"/>
    <x v="0"/>
  </r>
  <r>
    <s v="O0951"/>
    <s v="2024-01-29"/>
    <s v="C046"/>
    <x v="2"/>
    <n v="1733.85"/>
    <n v="2"/>
    <n v="244.21"/>
    <n v="0.1"/>
    <x v="3"/>
    <x v="0"/>
  </r>
  <r>
    <s v="O0952"/>
    <s v="2024-08-23"/>
    <s v="C069"/>
    <x v="0"/>
    <n v="4281.38"/>
    <n v="4"/>
    <n v="650.85"/>
    <n v="0.05"/>
    <x v="3"/>
    <x v="0"/>
  </r>
  <r>
    <s v="O0953"/>
    <s v="2024-04-07"/>
    <s v="C071"/>
    <x v="0"/>
    <n v="292.72000000000003"/>
    <n v="7"/>
    <n v="48.37"/>
    <n v="0"/>
    <x v="2"/>
    <x v="1"/>
  </r>
  <r>
    <s v="O0954"/>
    <s v="2024-11-19"/>
    <s v="C081"/>
    <x v="0"/>
    <n v="3475.33"/>
    <n v="4"/>
    <n v="680.99"/>
    <n v="0.05"/>
    <x v="0"/>
    <x v="0"/>
  </r>
  <r>
    <s v="O0955"/>
    <s v="2024-10-30"/>
    <s v="C005"/>
    <x v="1"/>
    <n v="1046.1500000000001"/>
    <n v="8"/>
    <n v="278.19"/>
    <n v="0.15"/>
    <x v="0"/>
    <x v="2"/>
  </r>
  <r>
    <s v="O0956"/>
    <s v="2024-09-12"/>
    <s v="C009"/>
    <x v="2"/>
    <n v="3984.42"/>
    <n v="8"/>
    <n v="968.3"/>
    <n v="0"/>
    <x v="0"/>
    <x v="2"/>
  </r>
  <r>
    <s v="O0957"/>
    <s v="2024-01-22"/>
    <s v="C005"/>
    <x v="0"/>
    <n v="1762.5"/>
    <n v="2"/>
    <n v="266.69"/>
    <n v="0.05"/>
    <x v="0"/>
    <x v="2"/>
  </r>
  <r>
    <s v="O0958"/>
    <s v="2024-12-13"/>
    <s v="C084"/>
    <x v="2"/>
    <n v="3369.85"/>
    <n v="3"/>
    <n v="631.88"/>
    <n v="0.2"/>
    <x v="2"/>
    <x v="2"/>
  </r>
  <r>
    <s v="O0959"/>
    <s v="2024-03-13"/>
    <s v="C030"/>
    <x v="0"/>
    <n v="4631.6000000000004"/>
    <n v="1"/>
    <n v="282.82"/>
    <n v="0.15"/>
    <x v="0"/>
    <x v="0"/>
  </r>
  <r>
    <s v="O0960"/>
    <s v="2024-03-07"/>
    <s v="C080"/>
    <x v="1"/>
    <n v="324.43"/>
    <n v="3"/>
    <n v="84.48"/>
    <n v="0"/>
    <x v="3"/>
    <x v="1"/>
  </r>
  <r>
    <s v="O0961"/>
    <s v="2024-11-08"/>
    <s v="C040"/>
    <x v="1"/>
    <n v="4121.62"/>
    <n v="10"/>
    <n v="326.38"/>
    <n v="0"/>
    <x v="1"/>
    <x v="1"/>
  </r>
  <r>
    <s v="O0962"/>
    <s v="2024-11-11"/>
    <s v="C014"/>
    <x v="1"/>
    <n v="659.48"/>
    <n v="2"/>
    <n v="150.69"/>
    <n v="0.05"/>
    <x v="2"/>
    <x v="2"/>
  </r>
  <r>
    <s v="O0963"/>
    <s v="2024-12-13"/>
    <s v="C055"/>
    <x v="0"/>
    <n v="1752.98"/>
    <n v="6"/>
    <n v="527.24"/>
    <n v="0"/>
    <x v="1"/>
    <x v="1"/>
  </r>
  <r>
    <s v="O0964"/>
    <s v="2024-04-19"/>
    <s v="C088"/>
    <x v="1"/>
    <n v="2922.24"/>
    <n v="10"/>
    <n v="266.5"/>
    <n v="0.05"/>
    <x v="1"/>
    <x v="2"/>
  </r>
  <r>
    <s v="O0965"/>
    <s v="2024-07-31"/>
    <s v="C043"/>
    <x v="1"/>
    <n v="409.79"/>
    <n v="6"/>
    <n v="54.16"/>
    <n v="0.2"/>
    <x v="3"/>
    <x v="0"/>
  </r>
  <r>
    <s v="O0966"/>
    <s v="2024-01-21"/>
    <s v="C022"/>
    <x v="1"/>
    <n v="2249.44"/>
    <n v="2"/>
    <n v="737.15"/>
    <n v="0.2"/>
    <x v="1"/>
    <x v="2"/>
  </r>
  <r>
    <s v="O0967"/>
    <s v="2024-09-06"/>
    <s v="C049"/>
    <x v="1"/>
    <n v="3910.54"/>
    <n v="1"/>
    <n v="213.86"/>
    <n v="0"/>
    <x v="1"/>
    <x v="1"/>
  </r>
  <r>
    <s v="O0968"/>
    <s v="2024-10-30"/>
    <s v="C023"/>
    <x v="0"/>
    <n v="4638.07"/>
    <n v="7"/>
    <n v="1215.28"/>
    <n v="0.15"/>
    <x v="0"/>
    <x v="1"/>
  </r>
  <r>
    <s v="O0969"/>
    <s v="2024-05-18"/>
    <s v="C089"/>
    <x v="2"/>
    <n v="721.77"/>
    <n v="8"/>
    <n v="67.069999999999993"/>
    <n v="0.15"/>
    <x v="2"/>
    <x v="1"/>
  </r>
  <r>
    <s v="O0970"/>
    <s v="2024-01-20"/>
    <s v="C031"/>
    <x v="2"/>
    <n v="4696.6400000000003"/>
    <n v="3"/>
    <n v="1095.08"/>
    <n v="0.15"/>
    <x v="0"/>
    <x v="1"/>
  </r>
  <r>
    <s v="O0971"/>
    <s v="2024-06-03"/>
    <s v="C079"/>
    <x v="0"/>
    <n v="4756.46"/>
    <n v="7"/>
    <n v="1132.79"/>
    <n v="0"/>
    <x v="0"/>
    <x v="2"/>
  </r>
  <r>
    <s v="O0972"/>
    <s v="2024-09-28"/>
    <s v="C072"/>
    <x v="1"/>
    <n v="1254.6300000000001"/>
    <n v="10"/>
    <n v="106.96"/>
    <n v="0.1"/>
    <x v="0"/>
    <x v="2"/>
  </r>
  <r>
    <s v="O0973"/>
    <s v="2024-08-25"/>
    <s v="C098"/>
    <x v="2"/>
    <n v="4935.2299999999996"/>
    <n v="4"/>
    <n v="998.21"/>
    <n v="0.1"/>
    <x v="2"/>
    <x v="2"/>
  </r>
  <r>
    <s v="O0974"/>
    <s v="2024-12-16"/>
    <s v="C007"/>
    <x v="0"/>
    <n v="1049.22"/>
    <n v="8"/>
    <n v="303.20999999999998"/>
    <n v="0.05"/>
    <x v="0"/>
    <x v="0"/>
  </r>
  <r>
    <s v="O0975"/>
    <s v="2024-11-26"/>
    <s v="C021"/>
    <x v="0"/>
    <n v="3383.7"/>
    <n v="5"/>
    <n v="212.95"/>
    <n v="0.05"/>
    <x v="3"/>
    <x v="0"/>
  </r>
  <r>
    <s v="O0976"/>
    <s v="2024-08-20"/>
    <s v="C056"/>
    <x v="1"/>
    <n v="1331.77"/>
    <n v="2"/>
    <n v="313.02999999999997"/>
    <n v="0"/>
    <x v="2"/>
    <x v="0"/>
  </r>
  <r>
    <s v="O0977"/>
    <s v="2024-09-05"/>
    <s v="C069"/>
    <x v="2"/>
    <n v="961.85"/>
    <n v="2"/>
    <n v="274.75"/>
    <n v="0"/>
    <x v="3"/>
    <x v="0"/>
  </r>
  <r>
    <s v="O0978"/>
    <s v="2024-06-15"/>
    <s v="C031"/>
    <x v="0"/>
    <n v="3634.88"/>
    <n v="4"/>
    <n v="828.07"/>
    <n v="0.1"/>
    <x v="0"/>
    <x v="1"/>
  </r>
  <r>
    <s v="O0979"/>
    <s v="2024-02-20"/>
    <s v="C030"/>
    <x v="1"/>
    <n v="3916.98"/>
    <n v="7"/>
    <n v="579.09"/>
    <n v="0.05"/>
    <x v="0"/>
    <x v="0"/>
  </r>
  <r>
    <s v="O0980"/>
    <s v="2024-10-26"/>
    <s v="C049"/>
    <x v="0"/>
    <n v="4467.6899999999996"/>
    <n v="1"/>
    <n v="321.94"/>
    <n v="0.15"/>
    <x v="1"/>
    <x v="1"/>
  </r>
  <r>
    <s v="O0981"/>
    <s v="2024-04-01"/>
    <s v="C019"/>
    <x v="0"/>
    <n v="1159.21"/>
    <n v="6"/>
    <n v="269.89999999999998"/>
    <n v="0.05"/>
    <x v="1"/>
    <x v="0"/>
  </r>
  <r>
    <s v="O0982"/>
    <s v="2024-05-18"/>
    <s v="C059"/>
    <x v="1"/>
    <n v="3627.12"/>
    <n v="6"/>
    <n v="869.08"/>
    <n v="0.05"/>
    <x v="2"/>
    <x v="2"/>
  </r>
  <r>
    <s v="O0983"/>
    <s v="2024-03-10"/>
    <s v="C005"/>
    <x v="1"/>
    <n v="3491.83"/>
    <n v="8"/>
    <n v="237.08"/>
    <n v="0.15"/>
    <x v="0"/>
    <x v="2"/>
  </r>
  <r>
    <s v="O0984"/>
    <s v="2024-05-31"/>
    <s v="C054"/>
    <x v="2"/>
    <n v="938.89"/>
    <n v="3"/>
    <n v="143.72"/>
    <n v="0.2"/>
    <x v="1"/>
    <x v="2"/>
  </r>
  <r>
    <s v="O0985"/>
    <s v="2024-04-27"/>
    <s v="C022"/>
    <x v="1"/>
    <n v="2932.8"/>
    <n v="7"/>
    <n v="632.98"/>
    <n v="0.2"/>
    <x v="1"/>
    <x v="2"/>
  </r>
  <r>
    <s v="O0986"/>
    <s v="2024-08-30"/>
    <s v="C063"/>
    <x v="0"/>
    <n v="4324.78"/>
    <n v="5"/>
    <n v="497.06"/>
    <n v="0"/>
    <x v="1"/>
    <x v="2"/>
  </r>
  <r>
    <s v="O0987"/>
    <s v="2024-05-06"/>
    <s v="C094"/>
    <x v="0"/>
    <n v="2197.7399999999998"/>
    <n v="7"/>
    <n v="685.21"/>
    <n v="0.2"/>
    <x v="1"/>
    <x v="0"/>
  </r>
  <r>
    <s v="O0988"/>
    <s v="2024-03-17"/>
    <s v="C029"/>
    <x v="2"/>
    <n v="4469.93"/>
    <n v="1"/>
    <n v="1017.05"/>
    <n v="0.15"/>
    <x v="2"/>
    <x v="1"/>
  </r>
  <r>
    <s v="O0989"/>
    <s v="2024-09-15"/>
    <s v="C006"/>
    <x v="1"/>
    <n v="296.29000000000002"/>
    <n v="7"/>
    <n v="56.65"/>
    <n v="0.2"/>
    <x v="1"/>
    <x v="0"/>
  </r>
  <r>
    <s v="O0990"/>
    <s v="2024-02-20"/>
    <s v="C051"/>
    <x v="0"/>
    <n v="2448.42"/>
    <n v="8"/>
    <n v="708.59"/>
    <n v="0.05"/>
    <x v="3"/>
    <x v="0"/>
  </r>
  <r>
    <s v="O0991"/>
    <s v="2024-07-27"/>
    <s v="C011"/>
    <x v="1"/>
    <n v="2836.59"/>
    <n v="3"/>
    <n v="152.4"/>
    <n v="0.1"/>
    <x v="1"/>
    <x v="0"/>
  </r>
  <r>
    <s v="O0992"/>
    <s v="2024-01-09"/>
    <s v="C038"/>
    <x v="0"/>
    <n v="1271.4100000000001"/>
    <n v="5"/>
    <n v="444.59"/>
    <n v="0.05"/>
    <x v="2"/>
    <x v="2"/>
  </r>
  <r>
    <s v="O0993"/>
    <s v="2024-10-25"/>
    <s v="C091"/>
    <x v="1"/>
    <n v="2350.4899999999998"/>
    <n v="8"/>
    <n v="519.73"/>
    <n v="0.15"/>
    <x v="2"/>
    <x v="2"/>
  </r>
  <r>
    <s v="O0994"/>
    <s v="2024-04-04"/>
    <s v="C099"/>
    <x v="0"/>
    <n v="779.26"/>
    <n v="8"/>
    <n v="203.34"/>
    <n v="0"/>
    <x v="2"/>
    <x v="0"/>
  </r>
  <r>
    <s v="O0995"/>
    <s v="2024-06-19"/>
    <s v="C081"/>
    <x v="2"/>
    <n v="446.42"/>
    <n v="1"/>
    <n v="141.97999999999999"/>
    <n v="0.1"/>
    <x v="0"/>
    <x v="0"/>
  </r>
  <r>
    <s v="O0996"/>
    <s v="2024-11-09"/>
    <s v="C055"/>
    <x v="2"/>
    <n v="3789.15"/>
    <n v="10"/>
    <n v="982.97"/>
    <n v="0.05"/>
    <x v="1"/>
    <x v="1"/>
  </r>
  <r>
    <s v="O0997"/>
    <s v="2024-01-29"/>
    <s v="C088"/>
    <x v="2"/>
    <n v="496.7"/>
    <n v="6"/>
    <n v="156.09"/>
    <n v="0"/>
    <x v="1"/>
    <x v="2"/>
  </r>
  <r>
    <s v="O0998"/>
    <s v="2024-01-21"/>
    <s v="C015"/>
    <x v="0"/>
    <n v="1976.48"/>
    <n v="6"/>
    <n v="374.75"/>
    <n v="0.05"/>
    <x v="1"/>
    <x v="1"/>
  </r>
  <r>
    <s v="O0999"/>
    <s v="2024-12-29"/>
    <s v="C083"/>
    <x v="1"/>
    <n v="2838.07"/>
    <n v="3"/>
    <n v="198.95"/>
    <n v="0.1"/>
    <x v="2"/>
    <x v="0"/>
  </r>
  <r>
    <s v="O1000"/>
    <s v="2024-10-24"/>
    <s v="C031"/>
    <x v="2"/>
    <n v="2744.21"/>
    <n v="4"/>
    <n v="671.54"/>
    <n v="0.0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A2C22-0A77-4EB1-A14A-70486CDCB8D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8">
    <pivotField showAll="0"/>
    <pivotField showAll="0">
      <items count="346">
        <item x="34"/>
        <item x="23"/>
        <item x="234"/>
        <item x="220"/>
        <item x="261"/>
        <item x="325"/>
        <item x="257"/>
        <item x="166"/>
        <item x="329"/>
        <item x="58"/>
        <item x="263"/>
        <item x="232"/>
        <item x="160"/>
        <item x="32"/>
        <item x="175"/>
        <item x="0"/>
        <item x="274"/>
        <item x="203"/>
        <item x="30"/>
        <item x="90"/>
        <item x="26"/>
        <item x="244"/>
        <item x="271"/>
        <item x="258"/>
        <item x="316"/>
        <item x="184"/>
        <item x="10"/>
        <item x="254"/>
        <item x="150"/>
        <item x="235"/>
        <item x="281"/>
        <item x="269"/>
        <item x="97"/>
        <item x="83"/>
        <item x="16"/>
        <item x="142"/>
        <item x="315"/>
        <item x="129"/>
        <item x="305"/>
        <item x="180"/>
        <item x="328"/>
        <item x="149"/>
        <item x="40"/>
        <item x="283"/>
        <item x="132"/>
        <item x="6"/>
        <item x="102"/>
        <item x="27"/>
        <item x="341"/>
        <item x="43"/>
        <item x="4"/>
        <item x="125"/>
        <item x="207"/>
        <item x="60"/>
        <item x="294"/>
        <item x="237"/>
        <item x="249"/>
        <item x="331"/>
        <item x="251"/>
        <item x="76"/>
        <item x="292"/>
        <item x="285"/>
        <item x="95"/>
        <item x="20"/>
        <item x="318"/>
        <item x="140"/>
        <item x="182"/>
        <item x="85"/>
        <item x="336"/>
        <item x="219"/>
        <item x="25"/>
        <item x="48"/>
        <item x="131"/>
        <item x="255"/>
        <item x="267"/>
        <item x="190"/>
        <item x="296"/>
        <item x="256"/>
        <item x="8"/>
        <item x="7"/>
        <item x="39"/>
        <item x="272"/>
        <item x="145"/>
        <item x="141"/>
        <item x="275"/>
        <item x="322"/>
        <item x="155"/>
        <item x="68"/>
        <item x="320"/>
        <item x="12"/>
        <item x="122"/>
        <item x="73"/>
        <item x="75"/>
        <item x="314"/>
        <item x="84"/>
        <item x="179"/>
        <item x="266"/>
        <item x="218"/>
        <item x="241"/>
        <item x="223"/>
        <item x="312"/>
        <item x="327"/>
        <item x="17"/>
        <item x="130"/>
        <item x="59"/>
        <item x="51"/>
        <item x="144"/>
        <item x="286"/>
        <item x="96"/>
        <item x="31"/>
        <item x="343"/>
        <item x="304"/>
        <item x="247"/>
        <item x="288"/>
        <item x="28"/>
        <item x="15"/>
        <item x="164"/>
        <item x="62"/>
        <item x="264"/>
        <item x="344"/>
        <item x="44"/>
        <item x="157"/>
        <item x="56"/>
        <item x="291"/>
        <item x="161"/>
        <item x="276"/>
        <item x="317"/>
        <item x="273"/>
        <item x="117"/>
        <item x="204"/>
        <item x="66"/>
        <item x="65"/>
        <item x="87"/>
        <item x="111"/>
        <item x="252"/>
        <item x="5"/>
        <item x="222"/>
        <item x="217"/>
        <item x="152"/>
        <item x="9"/>
        <item x="86"/>
        <item x="143"/>
        <item x="82"/>
        <item x="106"/>
        <item x="205"/>
        <item x="50"/>
        <item x="181"/>
        <item x="245"/>
        <item x="78"/>
        <item x="174"/>
        <item x="228"/>
        <item x="333"/>
        <item x="340"/>
        <item x="170"/>
        <item x="100"/>
        <item x="189"/>
        <item x="38"/>
        <item x="242"/>
        <item x="342"/>
        <item x="114"/>
        <item x="35"/>
        <item x="98"/>
        <item x="196"/>
        <item x="137"/>
        <item x="63"/>
        <item x="309"/>
        <item x="280"/>
        <item x="202"/>
        <item x="233"/>
        <item x="57"/>
        <item x="323"/>
        <item x="310"/>
        <item x="110"/>
        <item x="165"/>
        <item x="94"/>
        <item x="299"/>
        <item x="115"/>
        <item x="243"/>
        <item x="18"/>
        <item x="151"/>
        <item x="193"/>
        <item x="226"/>
        <item x="215"/>
        <item x="230"/>
        <item x="307"/>
        <item x="293"/>
        <item x="172"/>
        <item x="238"/>
        <item x="334"/>
        <item x="236"/>
        <item x="231"/>
        <item x="139"/>
        <item x="225"/>
        <item x="92"/>
        <item x="93"/>
        <item x="188"/>
        <item x="2"/>
        <item x="260"/>
        <item x="29"/>
        <item x="229"/>
        <item x="121"/>
        <item x="295"/>
        <item x="270"/>
        <item x="37"/>
        <item x="133"/>
        <item x="240"/>
        <item x="24"/>
        <item x="54"/>
        <item x="326"/>
        <item x="88"/>
        <item x="279"/>
        <item x="224"/>
        <item x="284"/>
        <item x="113"/>
        <item x="108"/>
        <item x="289"/>
        <item x="70"/>
        <item x="177"/>
        <item x="55"/>
        <item x="109"/>
        <item x="169"/>
        <item x="64"/>
        <item x="148"/>
        <item x="67"/>
        <item x="259"/>
        <item x="3"/>
        <item x="287"/>
        <item x="253"/>
        <item x="194"/>
        <item x="41"/>
        <item x="11"/>
        <item x="128"/>
        <item x="116"/>
        <item x="74"/>
        <item x="337"/>
        <item x="105"/>
        <item x="22"/>
        <item x="77"/>
        <item x="120"/>
        <item x="192"/>
        <item x="278"/>
        <item x="330"/>
        <item x="301"/>
        <item x="156"/>
        <item x="191"/>
        <item x="134"/>
        <item x="33"/>
        <item x="159"/>
        <item x="163"/>
        <item x="158"/>
        <item x="173"/>
        <item x="282"/>
        <item x="332"/>
        <item x="126"/>
        <item x="210"/>
        <item x="214"/>
        <item x="338"/>
        <item x="53"/>
        <item x="308"/>
        <item x="206"/>
        <item x="1"/>
        <item x="297"/>
        <item x="239"/>
        <item x="298"/>
        <item x="46"/>
        <item x="72"/>
        <item x="81"/>
        <item x="123"/>
        <item x="135"/>
        <item x="201"/>
        <item x="153"/>
        <item x="118"/>
        <item x="208"/>
        <item x="303"/>
        <item x="138"/>
        <item x="13"/>
        <item x="277"/>
        <item x="268"/>
        <item x="311"/>
        <item x="186"/>
        <item x="198"/>
        <item x="167"/>
        <item x="14"/>
        <item x="49"/>
        <item x="216"/>
        <item x="80"/>
        <item x="212"/>
        <item x="248"/>
        <item x="45"/>
        <item x="124"/>
        <item x="319"/>
        <item x="290"/>
        <item x="265"/>
        <item x="21"/>
        <item x="339"/>
        <item x="195"/>
        <item x="302"/>
        <item x="250"/>
        <item x="79"/>
        <item x="199"/>
        <item x="162"/>
        <item x="335"/>
        <item x="187"/>
        <item x="262"/>
        <item x="147"/>
        <item x="227"/>
        <item x="146"/>
        <item x="47"/>
        <item x="183"/>
        <item x="168"/>
        <item x="176"/>
        <item x="171"/>
        <item x="104"/>
        <item x="101"/>
        <item x="19"/>
        <item x="103"/>
        <item x="321"/>
        <item x="127"/>
        <item x="209"/>
        <item x="71"/>
        <item x="246"/>
        <item x="36"/>
        <item x="52"/>
        <item x="91"/>
        <item x="211"/>
        <item x="89"/>
        <item x="61"/>
        <item x="112"/>
        <item x="200"/>
        <item x="107"/>
        <item x="154"/>
        <item x="313"/>
        <item x="197"/>
        <item x="324"/>
        <item x="221"/>
        <item x="136"/>
        <item x="42"/>
        <item x="99"/>
        <item x="119"/>
        <item x="69"/>
        <item x="178"/>
        <item x="306"/>
        <item x="213"/>
        <item x="185"/>
        <item x="30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5BBCE-8513-424A-B942-B3B3FCB176C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349" firstHeaderRow="1" firstDataRow="1" firstDataCol="1"/>
  <pivotFields count="8">
    <pivotField showAll="0"/>
    <pivotField axis="axisRow" showAll="0">
      <items count="346">
        <item x="34"/>
        <item x="23"/>
        <item x="234"/>
        <item x="220"/>
        <item x="261"/>
        <item x="325"/>
        <item x="257"/>
        <item x="166"/>
        <item x="329"/>
        <item x="58"/>
        <item x="263"/>
        <item x="232"/>
        <item x="160"/>
        <item x="32"/>
        <item n="sfs" x="175"/>
        <item x="0"/>
        <item x="274"/>
        <item x="203"/>
        <item x="30"/>
        <item x="90"/>
        <item x="26"/>
        <item x="244"/>
        <item x="271"/>
        <item x="258"/>
        <item x="316"/>
        <item x="184"/>
        <item x="10"/>
        <item x="254"/>
        <item x="150"/>
        <item x="235"/>
        <item x="281"/>
        <item x="269"/>
        <item x="97"/>
        <item x="83"/>
        <item x="16"/>
        <item x="142"/>
        <item x="315"/>
        <item x="129"/>
        <item x="305"/>
        <item x="180"/>
        <item x="328"/>
        <item x="149"/>
        <item x="40"/>
        <item x="283"/>
        <item x="132"/>
        <item x="6"/>
        <item x="102"/>
        <item x="27"/>
        <item x="341"/>
        <item x="43"/>
        <item x="4"/>
        <item x="125"/>
        <item x="207"/>
        <item x="60"/>
        <item x="294"/>
        <item x="237"/>
        <item x="249"/>
        <item x="331"/>
        <item x="251"/>
        <item x="76"/>
        <item x="292"/>
        <item x="285"/>
        <item x="95"/>
        <item x="20"/>
        <item x="318"/>
        <item x="140"/>
        <item x="182"/>
        <item x="85"/>
        <item x="336"/>
        <item x="219"/>
        <item x="25"/>
        <item x="48"/>
        <item x="131"/>
        <item x="255"/>
        <item x="267"/>
        <item x="190"/>
        <item x="296"/>
        <item x="256"/>
        <item x="8"/>
        <item x="7"/>
        <item x="39"/>
        <item x="272"/>
        <item x="145"/>
        <item x="141"/>
        <item x="275"/>
        <item x="322"/>
        <item x="155"/>
        <item x="68"/>
        <item x="320"/>
        <item x="12"/>
        <item x="122"/>
        <item x="73"/>
        <item x="75"/>
        <item x="314"/>
        <item x="84"/>
        <item x="179"/>
        <item x="266"/>
        <item x="218"/>
        <item x="241"/>
        <item x="223"/>
        <item x="312"/>
        <item x="327"/>
        <item x="17"/>
        <item x="130"/>
        <item x="59"/>
        <item x="51"/>
        <item x="144"/>
        <item x="286"/>
        <item x="96"/>
        <item x="31"/>
        <item x="343"/>
        <item x="304"/>
        <item x="247"/>
        <item x="288"/>
        <item x="28"/>
        <item x="15"/>
        <item x="164"/>
        <item x="62"/>
        <item x="264"/>
        <item x="344"/>
        <item x="44"/>
        <item x="157"/>
        <item x="56"/>
        <item x="291"/>
        <item x="161"/>
        <item x="276"/>
        <item x="317"/>
        <item x="273"/>
        <item x="117"/>
        <item x="204"/>
        <item x="66"/>
        <item x="65"/>
        <item x="87"/>
        <item x="111"/>
        <item x="252"/>
        <item x="5"/>
        <item x="222"/>
        <item x="217"/>
        <item x="152"/>
        <item x="9"/>
        <item x="86"/>
        <item x="143"/>
        <item x="82"/>
        <item x="106"/>
        <item x="205"/>
        <item x="50"/>
        <item x="181"/>
        <item x="245"/>
        <item x="78"/>
        <item x="174"/>
        <item x="228"/>
        <item x="333"/>
        <item x="340"/>
        <item x="170"/>
        <item x="100"/>
        <item x="189"/>
        <item x="38"/>
        <item x="242"/>
        <item x="342"/>
        <item x="114"/>
        <item x="35"/>
        <item x="98"/>
        <item x="196"/>
        <item x="137"/>
        <item x="63"/>
        <item x="309"/>
        <item x="280"/>
        <item x="202"/>
        <item x="233"/>
        <item x="57"/>
        <item x="323"/>
        <item x="310"/>
        <item x="110"/>
        <item x="165"/>
        <item x="94"/>
        <item x="299"/>
        <item x="115"/>
        <item x="243"/>
        <item x="18"/>
        <item x="151"/>
        <item x="193"/>
        <item x="226"/>
        <item x="215"/>
        <item x="230"/>
        <item x="307"/>
        <item x="293"/>
        <item x="172"/>
        <item x="238"/>
        <item x="334"/>
        <item x="236"/>
        <item x="231"/>
        <item x="139"/>
        <item x="225"/>
        <item x="92"/>
        <item x="93"/>
        <item x="188"/>
        <item x="2"/>
        <item x="260"/>
        <item x="29"/>
        <item x="229"/>
        <item x="121"/>
        <item x="295"/>
        <item x="270"/>
        <item x="37"/>
        <item x="133"/>
        <item x="240"/>
        <item x="24"/>
        <item x="54"/>
        <item x="326"/>
        <item x="88"/>
        <item x="279"/>
        <item x="224"/>
        <item x="284"/>
        <item x="113"/>
        <item x="108"/>
        <item x="289"/>
        <item x="70"/>
        <item x="177"/>
        <item x="55"/>
        <item x="109"/>
        <item x="169"/>
        <item x="64"/>
        <item x="148"/>
        <item x="67"/>
        <item x="259"/>
        <item x="3"/>
        <item x="287"/>
        <item x="253"/>
        <item x="194"/>
        <item x="41"/>
        <item x="11"/>
        <item x="128"/>
        <item x="116"/>
        <item x="74"/>
        <item x="337"/>
        <item x="105"/>
        <item x="22"/>
        <item x="77"/>
        <item x="120"/>
        <item x="192"/>
        <item x="278"/>
        <item x="330"/>
        <item x="301"/>
        <item x="156"/>
        <item x="191"/>
        <item x="134"/>
        <item x="33"/>
        <item x="159"/>
        <item x="163"/>
        <item x="158"/>
        <item x="173"/>
        <item x="282"/>
        <item x="332"/>
        <item x="126"/>
        <item x="210"/>
        <item x="214"/>
        <item x="338"/>
        <item x="53"/>
        <item x="308"/>
        <item x="206"/>
        <item x="1"/>
        <item x="297"/>
        <item x="239"/>
        <item x="298"/>
        <item x="46"/>
        <item x="72"/>
        <item x="81"/>
        <item x="123"/>
        <item x="135"/>
        <item x="201"/>
        <item x="153"/>
        <item x="118"/>
        <item x="208"/>
        <item x="303"/>
        <item x="138"/>
        <item x="13"/>
        <item x="277"/>
        <item x="268"/>
        <item x="311"/>
        <item x="186"/>
        <item x="198"/>
        <item x="167"/>
        <item x="14"/>
        <item x="49"/>
        <item x="216"/>
        <item x="80"/>
        <item x="212"/>
        <item x="248"/>
        <item x="45"/>
        <item x="124"/>
        <item x="319"/>
        <item x="290"/>
        <item x="265"/>
        <item x="21"/>
        <item x="339"/>
        <item x="195"/>
        <item x="302"/>
        <item x="250"/>
        <item x="79"/>
        <item x="199"/>
        <item x="162"/>
        <item x="335"/>
        <item x="187"/>
        <item x="262"/>
        <item x="147"/>
        <item x="227"/>
        <item x="146"/>
        <item x="47"/>
        <item x="183"/>
        <item x="168"/>
        <item x="176"/>
        <item x="171"/>
        <item x="104"/>
        <item x="101"/>
        <item x="19"/>
        <item x="103"/>
        <item x="321"/>
        <item x="127"/>
        <item x="209"/>
        <item x="71"/>
        <item x="246"/>
        <item x="36"/>
        <item x="52"/>
        <item x="91"/>
        <item x="211"/>
        <item x="89"/>
        <item x="61"/>
        <item x="112"/>
        <item x="200"/>
        <item x="107"/>
        <item x="154"/>
        <item x="313"/>
        <item x="197"/>
        <item x="324"/>
        <item x="221"/>
        <item x="136"/>
        <item x="42"/>
        <item x="99"/>
        <item x="119"/>
        <item x="69"/>
        <item x="178"/>
        <item x="306"/>
        <item x="213"/>
        <item x="185"/>
        <item x="30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6FB0D-C986-4891-BBA4-D567E9BFDA4D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8">
    <pivotField showAll="0"/>
    <pivotField showAll="0">
      <items count="346">
        <item x="34"/>
        <item x="23"/>
        <item x="234"/>
        <item x="220"/>
        <item x="261"/>
        <item x="325"/>
        <item x="257"/>
        <item x="166"/>
        <item x="329"/>
        <item x="58"/>
        <item x="263"/>
        <item x="232"/>
        <item x="160"/>
        <item x="32"/>
        <item x="175"/>
        <item x="0"/>
        <item x="274"/>
        <item x="203"/>
        <item x="30"/>
        <item x="90"/>
        <item x="26"/>
        <item x="244"/>
        <item x="271"/>
        <item x="258"/>
        <item x="316"/>
        <item x="184"/>
        <item x="10"/>
        <item x="254"/>
        <item x="150"/>
        <item x="235"/>
        <item x="281"/>
        <item x="269"/>
        <item x="97"/>
        <item x="83"/>
        <item x="16"/>
        <item x="142"/>
        <item x="315"/>
        <item x="129"/>
        <item x="305"/>
        <item x="180"/>
        <item x="328"/>
        <item x="149"/>
        <item x="40"/>
        <item x="283"/>
        <item x="132"/>
        <item x="6"/>
        <item x="102"/>
        <item x="27"/>
        <item x="341"/>
        <item x="43"/>
        <item x="4"/>
        <item x="125"/>
        <item x="207"/>
        <item x="60"/>
        <item x="294"/>
        <item x="237"/>
        <item x="249"/>
        <item x="331"/>
        <item x="251"/>
        <item x="76"/>
        <item x="292"/>
        <item x="285"/>
        <item x="95"/>
        <item x="20"/>
        <item x="318"/>
        <item x="140"/>
        <item x="182"/>
        <item x="85"/>
        <item x="336"/>
        <item x="219"/>
        <item x="25"/>
        <item x="48"/>
        <item x="131"/>
        <item x="255"/>
        <item x="267"/>
        <item x="190"/>
        <item x="296"/>
        <item x="256"/>
        <item x="8"/>
        <item x="7"/>
        <item x="39"/>
        <item x="272"/>
        <item x="145"/>
        <item x="141"/>
        <item x="275"/>
        <item x="322"/>
        <item x="155"/>
        <item x="68"/>
        <item x="320"/>
        <item x="12"/>
        <item x="122"/>
        <item x="73"/>
        <item x="75"/>
        <item x="314"/>
        <item x="84"/>
        <item x="179"/>
        <item x="266"/>
        <item x="218"/>
        <item x="241"/>
        <item x="223"/>
        <item x="312"/>
        <item x="327"/>
        <item x="17"/>
        <item x="130"/>
        <item x="59"/>
        <item x="51"/>
        <item x="144"/>
        <item x="286"/>
        <item x="96"/>
        <item x="31"/>
        <item x="343"/>
        <item x="304"/>
        <item x="247"/>
        <item x="288"/>
        <item x="28"/>
        <item x="15"/>
        <item x="164"/>
        <item x="62"/>
        <item x="264"/>
        <item x="344"/>
        <item x="44"/>
        <item x="157"/>
        <item x="56"/>
        <item x="291"/>
        <item x="161"/>
        <item x="276"/>
        <item x="317"/>
        <item x="273"/>
        <item x="117"/>
        <item x="204"/>
        <item x="66"/>
        <item x="65"/>
        <item x="87"/>
        <item x="111"/>
        <item x="252"/>
        <item x="5"/>
        <item x="222"/>
        <item x="217"/>
        <item x="152"/>
        <item x="9"/>
        <item x="86"/>
        <item x="143"/>
        <item x="82"/>
        <item x="106"/>
        <item x="205"/>
        <item x="50"/>
        <item x="181"/>
        <item x="245"/>
        <item x="78"/>
        <item x="174"/>
        <item x="228"/>
        <item x="333"/>
        <item x="340"/>
        <item x="170"/>
        <item x="100"/>
        <item x="189"/>
        <item x="38"/>
        <item x="242"/>
        <item x="342"/>
        <item x="114"/>
        <item x="35"/>
        <item x="98"/>
        <item x="196"/>
        <item x="137"/>
        <item x="63"/>
        <item x="309"/>
        <item x="280"/>
        <item x="202"/>
        <item x="233"/>
        <item x="57"/>
        <item x="323"/>
        <item x="310"/>
        <item x="110"/>
        <item x="165"/>
        <item x="94"/>
        <item x="299"/>
        <item x="115"/>
        <item x="243"/>
        <item x="18"/>
        <item x="151"/>
        <item x="193"/>
        <item x="226"/>
        <item x="215"/>
        <item x="230"/>
        <item x="307"/>
        <item x="293"/>
        <item x="172"/>
        <item x="238"/>
        <item x="334"/>
        <item x="236"/>
        <item x="231"/>
        <item x="139"/>
        <item x="225"/>
        <item x="92"/>
        <item x="93"/>
        <item x="188"/>
        <item x="2"/>
        <item x="260"/>
        <item x="29"/>
        <item x="229"/>
        <item x="121"/>
        <item x="295"/>
        <item x="270"/>
        <item x="37"/>
        <item x="133"/>
        <item x="240"/>
        <item x="24"/>
        <item x="54"/>
        <item x="326"/>
        <item x="88"/>
        <item x="279"/>
        <item x="224"/>
        <item x="284"/>
        <item x="113"/>
        <item x="108"/>
        <item x="289"/>
        <item x="70"/>
        <item x="177"/>
        <item x="55"/>
        <item x="109"/>
        <item x="169"/>
        <item x="64"/>
        <item x="148"/>
        <item x="67"/>
        <item x="259"/>
        <item x="3"/>
        <item x="287"/>
        <item x="253"/>
        <item x="194"/>
        <item x="41"/>
        <item x="11"/>
        <item x="128"/>
        <item x="116"/>
        <item x="74"/>
        <item x="337"/>
        <item x="105"/>
        <item x="22"/>
        <item x="77"/>
        <item x="120"/>
        <item x="192"/>
        <item x="278"/>
        <item x="330"/>
        <item x="301"/>
        <item x="156"/>
        <item x="191"/>
        <item x="134"/>
        <item x="33"/>
        <item x="159"/>
        <item x="163"/>
        <item x="158"/>
        <item x="173"/>
        <item x="282"/>
        <item x="332"/>
        <item x="126"/>
        <item x="210"/>
        <item x="214"/>
        <item x="338"/>
        <item x="53"/>
        <item x="308"/>
        <item x="206"/>
        <item x="1"/>
        <item x="297"/>
        <item x="239"/>
        <item x="298"/>
        <item x="46"/>
        <item x="72"/>
        <item x="81"/>
        <item x="123"/>
        <item x="135"/>
        <item x="201"/>
        <item x="153"/>
        <item x="118"/>
        <item x="208"/>
        <item x="303"/>
        <item x="138"/>
        <item x="13"/>
        <item x="277"/>
        <item x="268"/>
        <item x="311"/>
        <item x="186"/>
        <item x="198"/>
        <item x="167"/>
        <item x="14"/>
        <item x="49"/>
        <item x="216"/>
        <item x="80"/>
        <item x="212"/>
        <item x="248"/>
        <item x="45"/>
        <item x="124"/>
        <item x="319"/>
        <item x="290"/>
        <item x="265"/>
        <item x="21"/>
        <item x="339"/>
        <item x="195"/>
        <item x="302"/>
        <item x="250"/>
        <item x="79"/>
        <item x="199"/>
        <item x="162"/>
        <item x="335"/>
        <item x="187"/>
        <item x="262"/>
        <item x="147"/>
        <item x="227"/>
        <item x="146"/>
        <item x="47"/>
        <item x="183"/>
        <item x="168"/>
        <item x="176"/>
        <item x="171"/>
        <item x="104"/>
        <item x="101"/>
        <item x="19"/>
        <item x="103"/>
        <item x="321"/>
        <item x="127"/>
        <item x="209"/>
        <item x="71"/>
        <item x="246"/>
        <item x="36"/>
        <item x="52"/>
        <item x="91"/>
        <item x="211"/>
        <item x="89"/>
        <item x="61"/>
        <item x="112"/>
        <item x="200"/>
        <item x="107"/>
        <item x="154"/>
        <item x="313"/>
        <item x="197"/>
        <item x="324"/>
        <item x="221"/>
        <item x="136"/>
        <item x="42"/>
        <item x="99"/>
        <item x="119"/>
        <item x="69"/>
        <item x="178"/>
        <item x="306"/>
        <item x="213"/>
        <item x="185"/>
        <item x="300"/>
        <item t="default"/>
      </items>
    </pivotField>
    <pivotField axis="axisRow" showAll="0" measureFilter="1">
      <items count="101">
        <item x="99"/>
        <item x="82"/>
        <item x="77"/>
        <item x="26"/>
        <item x="95"/>
        <item x="13"/>
        <item x="45"/>
        <item x="4"/>
        <item x="72"/>
        <item x="22"/>
        <item x="75"/>
        <item x="7"/>
        <item x="73"/>
        <item x="51"/>
        <item x="85"/>
        <item x="50"/>
        <item x="48"/>
        <item x="80"/>
        <item x="74"/>
        <item x="10"/>
        <item x="21"/>
        <item x="49"/>
        <item x="52"/>
        <item x="98"/>
        <item x="30"/>
        <item x="37"/>
        <item x="87"/>
        <item x="8"/>
        <item x="56"/>
        <item x="70"/>
        <item x="1"/>
        <item x="39"/>
        <item x="66"/>
        <item x="9"/>
        <item x="58"/>
        <item x="46"/>
        <item x="76"/>
        <item x="97"/>
        <item x="18"/>
        <item x="65"/>
        <item x="42"/>
        <item x="89"/>
        <item x="93"/>
        <item x="53"/>
        <item x="16"/>
        <item x="24"/>
        <item x="31"/>
        <item x="79"/>
        <item x="44"/>
        <item x="71"/>
        <item x="90"/>
        <item x="28"/>
        <item x="64"/>
        <item x="38"/>
        <item x="84"/>
        <item x="35"/>
        <item x="6"/>
        <item x="41"/>
        <item x="27"/>
        <item x="40"/>
        <item x="2"/>
        <item x="62"/>
        <item x="83"/>
        <item x="96"/>
        <item x="69"/>
        <item x="36"/>
        <item x="54"/>
        <item x="86"/>
        <item x="5"/>
        <item x="17"/>
        <item x="57"/>
        <item x="63"/>
        <item x="15"/>
        <item x="61"/>
        <item x="23"/>
        <item x="81"/>
        <item x="60"/>
        <item x="78"/>
        <item x="34"/>
        <item x="25"/>
        <item x="0"/>
        <item x="20"/>
        <item x="68"/>
        <item x="67"/>
        <item x="3"/>
        <item x="14"/>
        <item x="12"/>
        <item x="19"/>
        <item x="55"/>
        <item x="33"/>
        <item x="43"/>
        <item x="91"/>
        <item x="32"/>
        <item x="29"/>
        <item x="88"/>
        <item x="11"/>
        <item x="47"/>
        <item x="59"/>
        <item x="94"/>
        <item x="9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 v="11"/>
    </i>
    <i>
      <x v="28"/>
    </i>
    <i>
      <x v="49"/>
    </i>
    <i>
      <x v="95"/>
    </i>
    <i>
      <x v="97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29149-9C49-4571-A1DD-0A88C950F9A8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E9" firstHeaderRow="1" firstDataRow="2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0349C-C715-4555-B238-E75E15C6F1BC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F8" firstHeaderRow="1" firstDataRow="2" firstDataCol="1"/>
  <pivotFields count="10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6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84D13-89B1-4FBC-9C4E-7A8D8DBCAD26}" name="Table1" displayName="Table1" ref="A1:H5" totalsRowShown="0">
  <autoFilter ref="A1:H5" xr:uid="{78F84D13-89B1-4FBC-9C4E-7A8D8DBCAD26}"/>
  <tableColumns count="8">
    <tableColumn id="1" xr3:uid="{618E3343-39D0-4C69-AF4C-43A836B645DD}" name="Order_ID"/>
    <tableColumn id="2" xr3:uid="{6483D5ED-6AC7-4A8C-A0CE-C357D98AC829}" name="Order_Date"/>
    <tableColumn id="3" xr3:uid="{64B0C1A2-C99E-43BD-B157-8ABA14A313DB}" name="Customer_ID"/>
    <tableColumn id="4" xr3:uid="{52354331-1C0F-4851-92C8-D9244E4E48DD}" name="Product_Category"/>
    <tableColumn id="5" xr3:uid="{DEEBA13E-C65C-43A3-9DB6-3F013F185134}" name="Sales"/>
    <tableColumn id="6" xr3:uid="{0322ECC3-3854-4067-8E14-DB3E2A939DC0}" name="Quantity"/>
    <tableColumn id="7" xr3:uid="{0FED15A0-3BDA-4CC7-AD1B-5551F24C89C5}" name="Profit"/>
    <tableColumn id="8" xr3:uid="{B6CE5A3E-66BD-4267-A50A-259731DFB975}" name="Dis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540A4-1B77-435D-9948-A4A332DD2254}" name="Table2" displayName="Table2" ref="A1:K1001" totalsRowShown="0">
  <autoFilter ref="A1:K1001" xr:uid="{EF1540A4-1B77-435D-9948-A4A332DD2254}"/>
  <tableColumns count="11">
    <tableColumn id="1" xr3:uid="{014F5DF8-8D54-4D50-BB1D-8D5C63C1352B}" name="Order_ID"/>
    <tableColumn id="2" xr3:uid="{749FF2A4-BE24-4654-9202-E57CAA5CE238}" name="Order_Date"/>
    <tableColumn id="3" xr3:uid="{81DBFCDC-90E2-430D-A124-3BC8D7B5ADEA}" name="Customer_ID"/>
    <tableColumn id="4" xr3:uid="{C797CCEA-E41D-457C-ADAD-F208E2DE8749}" name="Product_Category"/>
    <tableColumn id="5" xr3:uid="{C113BFF1-B3BE-431A-9B6D-67ABA7CE65A3}" name="Sales"/>
    <tableColumn id="6" xr3:uid="{93A54B18-05CE-4B70-8AB1-8706C999A5E8}" name="Quantity"/>
    <tableColumn id="7" xr3:uid="{697F4A6B-CE5D-46CE-AA32-C1AF46394EC6}" name="Profit"/>
    <tableColumn id="8" xr3:uid="{20587180-26B7-468E-A01C-4B7A84E65B2B}" name="Discount"/>
    <tableColumn id="9" xr3:uid="{B6095196-86DE-4A89-94E1-399A271EE36C}" name="Region ">
      <calculatedColumnFormula>VLOOKUP(C2,[1]Sheet!$A:$D,3,FALSE)</calculatedColumnFormula>
    </tableColumn>
    <tableColumn id="10" xr3:uid="{14470DF4-0F7A-4BD1-BB11-F03EB5E6B3E2}" name="Segment">
      <calculatedColumnFormula>VLOOKUP(C2,[1]Sheet!$A:$D,4,FALSE)</calculatedColumnFormula>
    </tableColumn>
    <tableColumn id="11" xr3:uid="{CBEC4121-224B-4DD0-9AF5-10F6CCFF4DAF}" name="Profit_Margin">
      <calculatedColumnFormula>G2/E2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7F29-A464-4749-B38C-7BC858B2BB3E}">
  <dimension ref="A3:B7"/>
  <sheetViews>
    <sheetView workbookViewId="0">
      <selection activeCell="B3" sqref="B3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3" spans="1:2" x14ac:dyDescent="0.25">
      <c r="A3" s="2" t="s">
        <v>1457</v>
      </c>
      <c r="B3" t="s">
        <v>1459</v>
      </c>
    </row>
    <row r="4" spans="1:2" x14ac:dyDescent="0.25">
      <c r="A4" s="3" t="s">
        <v>11</v>
      </c>
      <c r="B4" s="1">
        <v>188857.27999999982</v>
      </c>
    </row>
    <row r="5" spans="1:2" x14ac:dyDescent="0.25">
      <c r="A5" s="3" t="s">
        <v>22</v>
      </c>
      <c r="B5" s="1">
        <v>151012.11999999997</v>
      </c>
    </row>
    <row r="6" spans="1:2" x14ac:dyDescent="0.25">
      <c r="A6" s="3" t="s">
        <v>15</v>
      </c>
      <c r="B6" s="1">
        <v>152458.12000000002</v>
      </c>
    </row>
    <row r="7" spans="1:2" x14ac:dyDescent="0.25">
      <c r="A7" s="3" t="s">
        <v>1458</v>
      </c>
      <c r="B7" s="1">
        <v>492327.51999999979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357A-3F95-45EA-886A-9EA5077A2CAF}">
  <dimension ref="A1:H5"/>
  <sheetViews>
    <sheetView workbookViewId="0">
      <selection sqref="A1:H5"/>
    </sheetView>
  </sheetViews>
  <sheetFormatPr defaultRowHeight="15" x14ac:dyDescent="0.25"/>
  <cols>
    <col min="1" max="1" width="11.140625" customWidth="1"/>
    <col min="2" max="2" width="13.42578125" customWidth="1"/>
    <col min="3" max="3" width="14.5703125" customWidth="1"/>
    <col min="4" max="4" width="18.85546875" customWidth="1"/>
    <col min="6" max="6" width="10.85546875" customWidth="1"/>
    <col min="8" max="8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1397</v>
      </c>
      <c r="B2" t="s">
        <v>323</v>
      </c>
      <c r="C2" t="s">
        <v>37</v>
      </c>
      <c r="D2" t="s">
        <v>22</v>
      </c>
      <c r="E2">
        <v>3108.43</v>
      </c>
      <c r="F2">
        <v>5</v>
      </c>
      <c r="G2">
        <v>254.5</v>
      </c>
      <c r="H2">
        <v>0</v>
      </c>
    </row>
    <row r="3" spans="1:8" x14ac:dyDescent="0.25">
      <c r="A3" t="s">
        <v>1166</v>
      </c>
      <c r="B3" t="s">
        <v>323</v>
      </c>
      <c r="C3" t="s">
        <v>260</v>
      </c>
      <c r="D3" t="s">
        <v>22</v>
      </c>
      <c r="E3">
        <v>1223.8399999999999</v>
      </c>
      <c r="F3">
        <v>3</v>
      </c>
      <c r="G3">
        <v>332</v>
      </c>
      <c r="H3">
        <v>0.05</v>
      </c>
    </row>
    <row r="4" spans="1:8" x14ac:dyDescent="0.25">
      <c r="A4" t="s">
        <v>1028</v>
      </c>
      <c r="B4" t="s">
        <v>323</v>
      </c>
      <c r="C4" t="s">
        <v>372</v>
      </c>
      <c r="D4" t="s">
        <v>15</v>
      </c>
      <c r="E4">
        <v>3743.98</v>
      </c>
      <c r="F4">
        <v>6</v>
      </c>
      <c r="G4">
        <v>415.31</v>
      </c>
      <c r="H4">
        <v>0.2</v>
      </c>
    </row>
    <row r="5" spans="1:8" x14ac:dyDescent="0.25">
      <c r="A5" t="s">
        <v>322</v>
      </c>
      <c r="B5" t="s">
        <v>323</v>
      </c>
      <c r="C5" t="s">
        <v>324</v>
      </c>
      <c r="D5" t="s">
        <v>11</v>
      </c>
      <c r="E5">
        <v>3420.29</v>
      </c>
      <c r="F5">
        <v>10</v>
      </c>
      <c r="G5">
        <v>333.11</v>
      </c>
      <c r="H5">
        <v>0.1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4B0A-1249-4FDC-AB94-3C6563572E1E}">
  <dimension ref="A3:B349"/>
  <sheetViews>
    <sheetView workbookViewId="0">
      <selection activeCell="A7" sqref="A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1457</v>
      </c>
      <c r="B3" t="s">
        <v>1456</v>
      </c>
    </row>
    <row r="4" spans="1:2" x14ac:dyDescent="0.25">
      <c r="A4" s="3" t="s">
        <v>112</v>
      </c>
      <c r="B4" s="1">
        <v>4975.37</v>
      </c>
    </row>
    <row r="5" spans="1:2" x14ac:dyDescent="0.25">
      <c r="A5" s="3" t="s">
        <v>78</v>
      </c>
      <c r="B5" s="1">
        <v>2752.96</v>
      </c>
    </row>
    <row r="6" spans="1:2" x14ac:dyDescent="0.25">
      <c r="A6" s="3" t="s">
        <v>741</v>
      </c>
      <c r="B6" s="1">
        <v>2302.92</v>
      </c>
    </row>
    <row r="7" spans="1:2" x14ac:dyDescent="0.25">
      <c r="A7" s="3" t="s">
        <v>678</v>
      </c>
      <c r="B7" s="1">
        <v>6094.66</v>
      </c>
    </row>
    <row r="8" spans="1:2" x14ac:dyDescent="0.25">
      <c r="A8" s="3" t="s">
        <v>834</v>
      </c>
      <c r="B8" s="1">
        <v>6488.24</v>
      </c>
    </row>
    <row r="9" spans="1:2" x14ac:dyDescent="0.25">
      <c r="A9" s="3" t="s">
        <v>1233</v>
      </c>
      <c r="B9" s="1">
        <v>3298.62</v>
      </c>
    </row>
    <row r="10" spans="1:2" x14ac:dyDescent="0.25">
      <c r="A10" s="3" t="s">
        <v>822</v>
      </c>
      <c r="B10" s="1">
        <v>6632.33</v>
      </c>
    </row>
    <row r="11" spans="1:2" x14ac:dyDescent="0.25">
      <c r="A11" s="3" t="s">
        <v>500</v>
      </c>
      <c r="B11" s="1">
        <v>14689.099999999999</v>
      </c>
    </row>
    <row r="12" spans="1:2" x14ac:dyDescent="0.25">
      <c r="A12" s="3" t="s">
        <v>1258</v>
      </c>
      <c r="B12" s="1">
        <v>5923.84</v>
      </c>
    </row>
    <row r="13" spans="1:2" x14ac:dyDescent="0.25">
      <c r="A13" s="3" t="s">
        <v>180</v>
      </c>
      <c r="B13" s="1">
        <v>5344.79</v>
      </c>
    </row>
    <row r="14" spans="1:2" x14ac:dyDescent="0.25">
      <c r="A14" s="3" t="s">
        <v>851</v>
      </c>
      <c r="B14" s="1">
        <v>8422.68</v>
      </c>
    </row>
    <row r="15" spans="1:2" x14ac:dyDescent="0.25">
      <c r="A15" s="3" t="s">
        <v>732</v>
      </c>
      <c r="B15" s="1">
        <v>6612.97</v>
      </c>
    </row>
    <row r="16" spans="1:2" x14ac:dyDescent="0.25">
      <c r="A16" s="3" t="s">
        <v>480</v>
      </c>
      <c r="B16" s="1">
        <v>5777.71</v>
      </c>
    </row>
    <row r="17" spans="1:2" x14ac:dyDescent="0.25">
      <c r="A17" s="3" t="s">
        <v>106</v>
      </c>
      <c r="B17" s="1">
        <v>4907.63</v>
      </c>
    </row>
    <row r="18" spans="1:2" x14ac:dyDescent="0.25">
      <c r="A18" s="3" t="s">
        <v>1471</v>
      </c>
      <c r="B18" s="1">
        <v>13356.210000000001</v>
      </c>
    </row>
    <row r="19" spans="1:2" x14ac:dyDescent="0.25">
      <c r="A19" s="3" t="s">
        <v>9</v>
      </c>
      <c r="B19" s="1">
        <v>2488.25</v>
      </c>
    </row>
    <row r="20" spans="1:2" x14ac:dyDescent="0.25">
      <c r="A20" s="3" t="s">
        <v>905</v>
      </c>
      <c r="B20" s="1">
        <v>4140.6099999999997</v>
      </c>
    </row>
    <row r="21" spans="1:2" x14ac:dyDescent="0.25">
      <c r="A21" s="3" t="s">
        <v>608</v>
      </c>
      <c r="B21" s="1">
        <v>8484.76</v>
      </c>
    </row>
    <row r="22" spans="1:2" x14ac:dyDescent="0.25">
      <c r="A22" s="3" t="s">
        <v>99</v>
      </c>
      <c r="B22" s="1">
        <v>28131.69</v>
      </c>
    </row>
    <row r="23" spans="1:2" x14ac:dyDescent="0.25">
      <c r="A23" s="3" t="s">
        <v>269</v>
      </c>
      <c r="B23" s="1">
        <v>13365.699999999999</v>
      </c>
    </row>
    <row r="24" spans="1:2" x14ac:dyDescent="0.25">
      <c r="A24" s="3" t="s">
        <v>87</v>
      </c>
      <c r="B24" s="1">
        <v>19503.350000000002</v>
      </c>
    </row>
    <row r="25" spans="1:2" x14ac:dyDescent="0.25">
      <c r="A25" s="3" t="s">
        <v>778</v>
      </c>
      <c r="B25" s="1">
        <v>7139.09</v>
      </c>
    </row>
    <row r="26" spans="1:2" x14ac:dyDescent="0.25">
      <c r="A26" s="3" t="s">
        <v>893</v>
      </c>
      <c r="B26" s="1">
        <v>2741.69</v>
      </c>
    </row>
    <row r="27" spans="1:2" x14ac:dyDescent="0.25">
      <c r="A27" s="3" t="s">
        <v>826</v>
      </c>
      <c r="B27" s="1">
        <v>685.06</v>
      </c>
    </row>
    <row r="28" spans="1:2" x14ac:dyDescent="0.25">
      <c r="A28" s="3" t="s">
        <v>1164</v>
      </c>
      <c r="B28" s="1">
        <v>12326.900000000001</v>
      </c>
    </row>
    <row r="29" spans="1:2" x14ac:dyDescent="0.25">
      <c r="A29" s="3" t="s">
        <v>545</v>
      </c>
      <c r="B29" s="1">
        <v>17024.07</v>
      </c>
    </row>
    <row r="30" spans="1:2" x14ac:dyDescent="0.25">
      <c r="A30" s="3" t="s">
        <v>42</v>
      </c>
      <c r="B30" s="1">
        <v>9599.81</v>
      </c>
    </row>
    <row r="31" spans="1:2" x14ac:dyDescent="0.25">
      <c r="A31" s="3" t="s">
        <v>806</v>
      </c>
      <c r="B31" s="1">
        <v>167.59</v>
      </c>
    </row>
    <row r="32" spans="1:2" x14ac:dyDescent="0.25">
      <c r="A32" s="3" t="s">
        <v>447</v>
      </c>
      <c r="B32" s="1">
        <v>3064.53</v>
      </c>
    </row>
    <row r="33" spans="1:2" x14ac:dyDescent="0.25">
      <c r="A33" s="3" t="s">
        <v>743</v>
      </c>
      <c r="B33" s="1">
        <v>6925.36</v>
      </c>
    </row>
    <row r="34" spans="1:2" x14ac:dyDescent="0.25">
      <c r="A34" s="3" t="s">
        <v>957</v>
      </c>
      <c r="B34" s="1">
        <v>3445.55</v>
      </c>
    </row>
    <row r="35" spans="1:2" x14ac:dyDescent="0.25">
      <c r="A35" s="3" t="s">
        <v>883</v>
      </c>
      <c r="B35" s="1">
        <v>1399.54</v>
      </c>
    </row>
    <row r="36" spans="1:2" x14ac:dyDescent="0.25">
      <c r="A36" s="3" t="s">
        <v>289</v>
      </c>
      <c r="B36" s="1">
        <v>4827.0599999999995</v>
      </c>
    </row>
    <row r="37" spans="1:2" x14ac:dyDescent="0.25">
      <c r="A37" s="3" t="s">
        <v>253</v>
      </c>
      <c r="B37" s="1">
        <v>4585.6400000000003</v>
      </c>
    </row>
    <row r="38" spans="1:2" x14ac:dyDescent="0.25">
      <c r="A38" s="3" t="s">
        <v>58</v>
      </c>
      <c r="B38" s="1">
        <v>5357.91</v>
      </c>
    </row>
    <row r="39" spans="1:2" x14ac:dyDescent="0.25">
      <c r="A39" s="3" t="s">
        <v>423</v>
      </c>
      <c r="B39" s="1">
        <v>1517.34</v>
      </c>
    </row>
    <row r="40" spans="1:2" x14ac:dyDescent="0.25">
      <c r="A40" s="3" t="s">
        <v>1156</v>
      </c>
      <c r="B40" s="1">
        <v>7209.42</v>
      </c>
    </row>
    <row r="41" spans="1:2" x14ac:dyDescent="0.25">
      <c r="A41" s="3" t="s">
        <v>381</v>
      </c>
      <c r="B41" s="1">
        <v>10528.1</v>
      </c>
    </row>
    <row r="42" spans="1:2" x14ac:dyDescent="0.25">
      <c r="A42" s="3" t="s">
        <v>1101</v>
      </c>
      <c r="B42" s="1">
        <v>4506.29</v>
      </c>
    </row>
    <row r="43" spans="1:2" x14ac:dyDescent="0.25">
      <c r="A43" s="3" t="s">
        <v>534</v>
      </c>
      <c r="B43" s="1">
        <v>20477.350000000002</v>
      </c>
    </row>
    <row r="44" spans="1:2" x14ac:dyDescent="0.25">
      <c r="A44" s="3" t="s">
        <v>1255</v>
      </c>
      <c r="B44" s="1">
        <v>7389.4800000000005</v>
      </c>
    </row>
    <row r="45" spans="1:2" x14ac:dyDescent="0.25">
      <c r="A45" s="3" t="s">
        <v>444</v>
      </c>
      <c r="B45" s="1">
        <v>10108.170000000002</v>
      </c>
    </row>
    <row r="46" spans="1:2" x14ac:dyDescent="0.25">
      <c r="A46" s="3" t="s">
        <v>131</v>
      </c>
      <c r="B46" s="1">
        <v>3465</v>
      </c>
    </row>
    <row r="47" spans="1:2" x14ac:dyDescent="0.25">
      <c r="A47" s="3" t="s">
        <v>974</v>
      </c>
      <c r="B47" s="1">
        <v>6605.4800000000005</v>
      </c>
    </row>
    <row r="48" spans="1:2" x14ac:dyDescent="0.25">
      <c r="A48" s="3" t="s">
        <v>392</v>
      </c>
      <c r="B48" s="1">
        <v>13712.64</v>
      </c>
    </row>
    <row r="49" spans="1:2" x14ac:dyDescent="0.25">
      <c r="A49" s="3" t="s">
        <v>30</v>
      </c>
      <c r="B49" s="1">
        <v>10819.84</v>
      </c>
    </row>
    <row r="50" spans="1:2" x14ac:dyDescent="0.25">
      <c r="A50" s="3" t="s">
        <v>303</v>
      </c>
      <c r="B50" s="1">
        <v>13183.03</v>
      </c>
    </row>
    <row r="51" spans="1:2" x14ac:dyDescent="0.25">
      <c r="A51" s="3" t="s">
        <v>90</v>
      </c>
      <c r="B51" s="1">
        <v>2646.75</v>
      </c>
    </row>
    <row r="52" spans="1:2" x14ac:dyDescent="0.25">
      <c r="A52" s="3" t="s">
        <v>1388</v>
      </c>
      <c r="B52" s="1">
        <v>158.61000000000001</v>
      </c>
    </row>
    <row r="53" spans="1:2" x14ac:dyDescent="0.25">
      <c r="A53" s="3" t="s">
        <v>140</v>
      </c>
      <c r="B53" s="1">
        <v>9488.4800000000014</v>
      </c>
    </row>
    <row r="54" spans="1:2" x14ac:dyDescent="0.25">
      <c r="A54" s="3" t="s">
        <v>24</v>
      </c>
      <c r="B54" s="1">
        <v>12825.45</v>
      </c>
    </row>
    <row r="55" spans="1:2" x14ac:dyDescent="0.25">
      <c r="A55" s="3" t="s">
        <v>370</v>
      </c>
      <c r="B55" s="1">
        <v>3027.77</v>
      </c>
    </row>
    <row r="56" spans="1:2" x14ac:dyDescent="0.25">
      <c r="A56" s="3" t="s">
        <v>627</v>
      </c>
      <c r="B56" s="1">
        <v>7725.1500000000005</v>
      </c>
    </row>
    <row r="57" spans="1:2" x14ac:dyDescent="0.25">
      <c r="A57" s="3" t="s">
        <v>186</v>
      </c>
      <c r="B57" s="1">
        <v>9634.4600000000009</v>
      </c>
    </row>
    <row r="58" spans="1:2" x14ac:dyDescent="0.25">
      <c r="A58" s="3" t="s">
        <v>1017</v>
      </c>
      <c r="B58" s="1">
        <v>3502.13</v>
      </c>
    </row>
    <row r="59" spans="1:2" x14ac:dyDescent="0.25">
      <c r="A59" s="3" t="s">
        <v>749</v>
      </c>
      <c r="B59" s="1">
        <v>5140.3099999999995</v>
      </c>
    </row>
    <row r="60" spans="1:2" x14ac:dyDescent="0.25">
      <c r="A60" s="3" t="s">
        <v>789</v>
      </c>
      <c r="B60" s="1">
        <v>7473.02</v>
      </c>
    </row>
    <row r="61" spans="1:2" x14ac:dyDescent="0.25">
      <c r="A61" s="3" t="s">
        <v>1299</v>
      </c>
      <c r="B61" s="1">
        <v>418.14</v>
      </c>
    </row>
    <row r="62" spans="1:2" x14ac:dyDescent="0.25">
      <c r="A62" s="3" t="s">
        <v>796</v>
      </c>
      <c r="B62" s="1">
        <v>5160.68</v>
      </c>
    </row>
    <row r="63" spans="1:2" x14ac:dyDescent="0.25">
      <c r="A63" s="3" t="s">
        <v>232</v>
      </c>
      <c r="B63" s="1">
        <v>6544.29</v>
      </c>
    </row>
    <row r="64" spans="1:2" x14ac:dyDescent="0.25">
      <c r="A64" s="3" t="s">
        <v>1009</v>
      </c>
      <c r="B64" s="1">
        <v>2934.92</v>
      </c>
    </row>
    <row r="65" spans="1:2" x14ac:dyDescent="0.25">
      <c r="A65" s="3" t="s">
        <v>982</v>
      </c>
      <c r="B65" s="1">
        <v>3124.5599999999995</v>
      </c>
    </row>
    <row r="66" spans="1:2" x14ac:dyDescent="0.25">
      <c r="A66" s="3" t="s">
        <v>281</v>
      </c>
      <c r="B66" s="1">
        <v>8458.24</v>
      </c>
    </row>
    <row r="67" spans="1:2" x14ac:dyDescent="0.25">
      <c r="A67" s="3" t="s">
        <v>70</v>
      </c>
      <c r="B67" s="1">
        <v>8904.0400000000009</v>
      </c>
    </row>
    <row r="68" spans="1:2" x14ac:dyDescent="0.25">
      <c r="A68" s="3" t="s">
        <v>1174</v>
      </c>
      <c r="B68" s="1">
        <v>9629.89</v>
      </c>
    </row>
    <row r="69" spans="1:2" x14ac:dyDescent="0.25">
      <c r="A69" s="3" t="s">
        <v>417</v>
      </c>
      <c r="B69" s="1">
        <v>7627.13</v>
      </c>
    </row>
    <row r="70" spans="1:2" x14ac:dyDescent="0.25">
      <c r="A70" s="3" t="s">
        <v>538</v>
      </c>
      <c r="B70" s="1">
        <v>8224.17</v>
      </c>
    </row>
    <row r="71" spans="1:2" x14ac:dyDescent="0.25">
      <c r="A71" s="3" t="s">
        <v>257</v>
      </c>
      <c r="B71" s="1">
        <v>16758.080000000002</v>
      </c>
    </row>
    <row r="72" spans="1:2" x14ac:dyDescent="0.25">
      <c r="A72" s="3" t="s">
        <v>1357</v>
      </c>
      <c r="B72" s="1">
        <v>156.85</v>
      </c>
    </row>
    <row r="73" spans="1:2" x14ac:dyDescent="0.25">
      <c r="A73" s="3" t="s">
        <v>670</v>
      </c>
      <c r="B73" s="1">
        <v>2856.37</v>
      </c>
    </row>
    <row r="74" spans="1:2" x14ac:dyDescent="0.25">
      <c r="A74" s="3" t="s">
        <v>84</v>
      </c>
      <c r="B74" s="1">
        <v>12552.86</v>
      </c>
    </row>
    <row r="75" spans="1:2" x14ac:dyDescent="0.25">
      <c r="A75" s="3" t="s">
        <v>154</v>
      </c>
      <c r="B75" s="1">
        <v>6993.38</v>
      </c>
    </row>
    <row r="76" spans="1:2" x14ac:dyDescent="0.25">
      <c r="A76" s="3" t="s">
        <v>389</v>
      </c>
      <c r="B76" s="1">
        <v>4569.17</v>
      </c>
    </row>
    <row r="77" spans="1:2" x14ac:dyDescent="0.25">
      <c r="A77" s="3" t="s">
        <v>810</v>
      </c>
      <c r="B77" s="1">
        <v>4612.53</v>
      </c>
    </row>
    <row r="78" spans="1:2" x14ac:dyDescent="0.25">
      <c r="A78" s="3" t="s">
        <v>874</v>
      </c>
      <c r="B78" s="1">
        <v>3963.1100000000006</v>
      </c>
    </row>
    <row r="79" spans="1:2" x14ac:dyDescent="0.25">
      <c r="A79" s="3" t="s">
        <v>563</v>
      </c>
      <c r="B79" s="1">
        <v>16720.86</v>
      </c>
    </row>
    <row r="80" spans="1:2" x14ac:dyDescent="0.25">
      <c r="A80" s="3" t="s">
        <v>1022</v>
      </c>
      <c r="B80" s="1">
        <v>3070.8900000000003</v>
      </c>
    </row>
    <row r="81" spans="1:2" x14ac:dyDescent="0.25">
      <c r="A81" s="3" t="s">
        <v>815</v>
      </c>
      <c r="B81" s="1">
        <v>3568.71</v>
      </c>
    </row>
    <row r="82" spans="1:2" x14ac:dyDescent="0.25">
      <c r="A82" s="3" t="s">
        <v>36</v>
      </c>
      <c r="B82" s="1">
        <v>13030.970000000001</v>
      </c>
    </row>
    <row r="83" spans="1:2" x14ac:dyDescent="0.25">
      <c r="A83" s="3" t="s">
        <v>33</v>
      </c>
      <c r="B83" s="1">
        <v>16719.829999999998</v>
      </c>
    </row>
    <row r="84" spans="1:2" x14ac:dyDescent="0.25">
      <c r="A84" s="3" t="s">
        <v>129</v>
      </c>
      <c r="B84" s="1">
        <v>6299.89</v>
      </c>
    </row>
    <row r="85" spans="1:2" x14ac:dyDescent="0.25">
      <c r="A85" s="3" t="s">
        <v>896</v>
      </c>
      <c r="B85" s="1">
        <v>1078.4100000000001</v>
      </c>
    </row>
    <row r="86" spans="1:2" x14ac:dyDescent="0.25">
      <c r="A86" s="3" t="s">
        <v>435</v>
      </c>
      <c r="B86" s="1">
        <v>9962.7000000000007</v>
      </c>
    </row>
    <row r="87" spans="1:2" x14ac:dyDescent="0.25">
      <c r="A87" s="3" t="s">
        <v>420</v>
      </c>
      <c r="B87" s="1">
        <v>9340.4500000000007</v>
      </c>
    </row>
    <row r="88" spans="1:2" x14ac:dyDescent="0.25">
      <c r="A88" s="3" t="s">
        <v>924</v>
      </c>
      <c r="B88" s="1">
        <v>2421.0699999999997</v>
      </c>
    </row>
    <row r="89" spans="1:2" x14ac:dyDescent="0.25">
      <c r="A89" s="3" t="s">
        <v>1215</v>
      </c>
      <c r="B89" s="1">
        <v>4604.59</v>
      </c>
    </row>
    <row r="90" spans="1:2" x14ac:dyDescent="0.25">
      <c r="A90" s="3" t="s">
        <v>463</v>
      </c>
      <c r="B90" s="1">
        <v>11514.52</v>
      </c>
    </row>
    <row r="91" spans="1:2" x14ac:dyDescent="0.25">
      <c r="A91" s="3" t="s">
        <v>207</v>
      </c>
      <c r="B91" s="1">
        <v>1039.92</v>
      </c>
    </row>
    <row r="92" spans="1:2" x14ac:dyDescent="0.25">
      <c r="A92" s="3" t="s">
        <v>1202</v>
      </c>
      <c r="B92" s="1">
        <v>4681.26</v>
      </c>
    </row>
    <row r="93" spans="1:2" x14ac:dyDescent="0.25">
      <c r="A93" s="3" t="s">
        <v>48</v>
      </c>
      <c r="B93" s="1">
        <v>13676.869999999999</v>
      </c>
    </row>
    <row r="94" spans="1:2" x14ac:dyDescent="0.25">
      <c r="A94" s="3" t="s">
        <v>363</v>
      </c>
      <c r="B94" s="1">
        <v>6599.9100000000008</v>
      </c>
    </row>
    <row r="95" spans="1:2" x14ac:dyDescent="0.25">
      <c r="A95" s="3" t="s">
        <v>223</v>
      </c>
      <c r="B95" s="1">
        <v>6388.7800000000007</v>
      </c>
    </row>
    <row r="96" spans="1:2" x14ac:dyDescent="0.25">
      <c r="A96" s="3" t="s">
        <v>229</v>
      </c>
      <c r="B96" s="1">
        <v>28775.309999999998</v>
      </c>
    </row>
    <row r="97" spans="1:2" x14ac:dyDescent="0.25">
      <c r="A97" s="3" t="s">
        <v>1148</v>
      </c>
      <c r="B97" s="1">
        <v>5311.6900000000005</v>
      </c>
    </row>
    <row r="98" spans="1:2" x14ac:dyDescent="0.25">
      <c r="A98" s="3" t="s">
        <v>255</v>
      </c>
      <c r="B98" s="1">
        <v>6381.23</v>
      </c>
    </row>
    <row r="99" spans="1:2" x14ac:dyDescent="0.25">
      <c r="A99" s="3" t="s">
        <v>532</v>
      </c>
      <c r="B99" s="1">
        <v>6310.66</v>
      </c>
    </row>
    <row r="100" spans="1:2" x14ac:dyDescent="0.25">
      <c r="A100" s="3" t="s">
        <v>870</v>
      </c>
      <c r="B100" s="1">
        <v>103.35</v>
      </c>
    </row>
    <row r="101" spans="1:2" x14ac:dyDescent="0.25">
      <c r="A101" s="3" t="s">
        <v>668</v>
      </c>
      <c r="B101" s="1">
        <v>2400.5</v>
      </c>
    </row>
    <row r="102" spans="1:2" x14ac:dyDescent="0.25">
      <c r="A102" s="3" t="s">
        <v>765</v>
      </c>
      <c r="B102" s="1">
        <v>3119.14</v>
      </c>
    </row>
    <row r="103" spans="1:2" x14ac:dyDescent="0.25">
      <c r="A103" s="3" t="s">
        <v>694</v>
      </c>
      <c r="B103" s="1">
        <v>8701.5499999999993</v>
      </c>
    </row>
    <row r="104" spans="1:2" x14ac:dyDescent="0.25">
      <c r="A104" s="3" t="s">
        <v>1141</v>
      </c>
      <c r="B104" s="1">
        <v>5604.54</v>
      </c>
    </row>
    <row r="105" spans="1:2" x14ac:dyDescent="0.25">
      <c r="A105" s="3" t="s">
        <v>1248</v>
      </c>
      <c r="B105" s="1">
        <v>1726.2</v>
      </c>
    </row>
    <row r="106" spans="1:2" x14ac:dyDescent="0.25">
      <c r="A106" s="3" t="s">
        <v>61</v>
      </c>
      <c r="B106" s="1">
        <v>7903.11</v>
      </c>
    </row>
    <row r="107" spans="1:2" x14ac:dyDescent="0.25">
      <c r="A107" s="3" t="s">
        <v>386</v>
      </c>
      <c r="B107" s="1">
        <v>3289.49</v>
      </c>
    </row>
    <row r="108" spans="1:2" x14ac:dyDescent="0.25">
      <c r="A108" s="3" t="s">
        <v>183</v>
      </c>
      <c r="B108" s="1">
        <v>13724.93</v>
      </c>
    </row>
    <row r="109" spans="1:2" x14ac:dyDescent="0.25">
      <c r="A109" s="3" t="s">
        <v>164</v>
      </c>
      <c r="B109" s="1">
        <v>4204.8</v>
      </c>
    </row>
    <row r="110" spans="1:2" x14ac:dyDescent="0.25">
      <c r="A110" s="3" t="s">
        <v>431</v>
      </c>
      <c r="B110" s="1">
        <v>12565.6</v>
      </c>
    </row>
    <row r="111" spans="1:2" x14ac:dyDescent="0.25">
      <c r="A111" s="3" t="s">
        <v>985</v>
      </c>
      <c r="B111" s="1">
        <v>3743.76</v>
      </c>
    </row>
    <row r="112" spans="1:2" x14ac:dyDescent="0.25">
      <c r="A112" s="3" t="s">
        <v>284</v>
      </c>
      <c r="B112" s="1">
        <v>4985.18</v>
      </c>
    </row>
    <row r="113" spans="1:2" x14ac:dyDescent="0.25">
      <c r="A113" s="3" t="s">
        <v>101</v>
      </c>
      <c r="B113" s="1">
        <v>7748.9400000000005</v>
      </c>
    </row>
    <row r="114" spans="1:2" x14ac:dyDescent="0.25">
      <c r="A114" s="3" t="s">
        <v>1439</v>
      </c>
      <c r="B114" s="1">
        <v>2932.8</v>
      </c>
    </row>
    <row r="115" spans="1:2" x14ac:dyDescent="0.25">
      <c r="A115" s="3" t="s">
        <v>1078</v>
      </c>
      <c r="B115" s="1">
        <v>7748.9400000000005</v>
      </c>
    </row>
    <row r="116" spans="1:2" x14ac:dyDescent="0.25">
      <c r="A116" s="3" t="s">
        <v>785</v>
      </c>
      <c r="B116" s="1">
        <v>3979.9700000000003</v>
      </c>
    </row>
    <row r="117" spans="1:2" x14ac:dyDescent="0.25">
      <c r="A117" s="3" t="s">
        <v>992</v>
      </c>
      <c r="B117" s="1">
        <v>5102.2299999999996</v>
      </c>
    </row>
    <row r="118" spans="1:2" x14ac:dyDescent="0.25">
      <c r="A118" s="3" t="s">
        <v>93</v>
      </c>
      <c r="B118" s="1">
        <v>6793.01</v>
      </c>
    </row>
    <row r="119" spans="1:2" x14ac:dyDescent="0.25">
      <c r="A119" s="3" t="s">
        <v>56</v>
      </c>
      <c r="B119" s="1">
        <v>3586.0099999999998</v>
      </c>
    </row>
    <row r="120" spans="1:2" x14ac:dyDescent="0.25">
      <c r="A120" s="3" t="s">
        <v>494</v>
      </c>
      <c r="B120" s="1">
        <v>10602.69</v>
      </c>
    </row>
    <row r="121" spans="1:2" x14ac:dyDescent="0.25">
      <c r="A121" s="3" t="s">
        <v>191</v>
      </c>
      <c r="B121" s="1">
        <v>6118.1</v>
      </c>
    </row>
    <row r="122" spans="1:2" x14ac:dyDescent="0.25">
      <c r="A122" s="3" t="s">
        <v>856</v>
      </c>
      <c r="B122" s="1">
        <v>269.77999999999997</v>
      </c>
    </row>
    <row r="123" spans="1:2" x14ac:dyDescent="0.25">
      <c r="A123" s="3" t="s">
        <v>1442</v>
      </c>
      <c r="B123" s="1">
        <v>2197.7399999999998</v>
      </c>
    </row>
    <row r="124" spans="1:2" x14ac:dyDescent="0.25">
      <c r="A124" s="3" t="s">
        <v>143</v>
      </c>
      <c r="B124" s="1">
        <v>12775.44</v>
      </c>
    </row>
    <row r="125" spans="1:2" x14ac:dyDescent="0.25">
      <c r="A125" s="3" t="s">
        <v>474</v>
      </c>
      <c r="B125" s="1">
        <v>8907.2799999999988</v>
      </c>
    </row>
    <row r="126" spans="1:2" x14ac:dyDescent="0.25">
      <c r="A126" s="3" t="s">
        <v>175</v>
      </c>
      <c r="B126" s="1">
        <v>5531.95</v>
      </c>
    </row>
    <row r="127" spans="1:2" x14ac:dyDescent="0.25">
      <c r="A127" s="3" t="s">
        <v>1003</v>
      </c>
      <c r="B127" s="1">
        <v>10326.530000000001</v>
      </c>
    </row>
    <row r="128" spans="1:2" x14ac:dyDescent="0.25">
      <c r="A128" s="3" t="s">
        <v>486</v>
      </c>
      <c r="B128" s="1">
        <v>125.73</v>
      </c>
    </row>
    <row r="129" spans="1:2" x14ac:dyDescent="0.25">
      <c r="A129" s="3" t="s">
        <v>926</v>
      </c>
      <c r="B129" s="1">
        <v>1786.82</v>
      </c>
    </row>
    <row r="130" spans="1:2" x14ac:dyDescent="0.25">
      <c r="A130" s="3" t="s">
        <v>1172</v>
      </c>
      <c r="B130" s="1">
        <v>2265.12</v>
      </c>
    </row>
    <row r="131" spans="1:2" x14ac:dyDescent="0.25">
      <c r="A131" s="3" t="s">
        <v>900</v>
      </c>
      <c r="B131" s="1">
        <v>1178.24</v>
      </c>
    </row>
    <row r="132" spans="1:2" x14ac:dyDescent="0.25">
      <c r="A132" s="3" t="s">
        <v>346</v>
      </c>
      <c r="B132" s="1">
        <v>4767.4599999999991</v>
      </c>
    </row>
    <row r="133" spans="1:2" x14ac:dyDescent="0.25">
      <c r="A133" s="3" t="s">
        <v>617</v>
      </c>
      <c r="B133" s="1">
        <v>1979.51</v>
      </c>
    </row>
    <row r="134" spans="1:2" x14ac:dyDescent="0.25">
      <c r="A134" s="3" t="s">
        <v>203</v>
      </c>
      <c r="B134" s="1">
        <v>2234.3200000000002</v>
      </c>
    </row>
    <row r="135" spans="1:2" x14ac:dyDescent="0.25">
      <c r="A135" s="3" t="s">
        <v>200</v>
      </c>
      <c r="B135" s="1">
        <v>10146.580000000002</v>
      </c>
    </row>
    <row r="136" spans="1:2" x14ac:dyDescent="0.25">
      <c r="A136" s="3" t="s">
        <v>262</v>
      </c>
      <c r="B136" s="1">
        <v>10688.36</v>
      </c>
    </row>
    <row r="137" spans="1:2" x14ac:dyDescent="0.25">
      <c r="A137" s="3" t="s">
        <v>330</v>
      </c>
      <c r="B137" s="1">
        <v>17341.27</v>
      </c>
    </row>
    <row r="138" spans="1:2" x14ac:dyDescent="0.25">
      <c r="A138" s="3" t="s">
        <v>798</v>
      </c>
      <c r="B138" s="1">
        <v>11431.619999999999</v>
      </c>
    </row>
    <row r="139" spans="1:2" x14ac:dyDescent="0.25">
      <c r="A139" s="3" t="s">
        <v>27</v>
      </c>
      <c r="B139" s="1">
        <v>9244.94</v>
      </c>
    </row>
    <row r="140" spans="1:2" x14ac:dyDescent="0.25">
      <c r="A140" s="3" t="s">
        <v>692</v>
      </c>
      <c r="B140" s="1">
        <v>13177.26</v>
      </c>
    </row>
    <row r="141" spans="1:2" x14ac:dyDescent="0.25">
      <c r="A141" s="3" t="s">
        <v>665</v>
      </c>
      <c r="B141" s="1">
        <v>7190.8899999999994</v>
      </c>
    </row>
    <row r="142" spans="1:2" x14ac:dyDescent="0.25">
      <c r="A142" s="3" t="s">
        <v>455</v>
      </c>
      <c r="B142" s="1">
        <v>7619.05</v>
      </c>
    </row>
    <row r="143" spans="1:2" x14ac:dyDescent="0.25">
      <c r="A143" s="3" t="s">
        <v>39</v>
      </c>
      <c r="B143" s="1">
        <v>16849.46</v>
      </c>
    </row>
    <row r="144" spans="1:2" x14ac:dyDescent="0.25">
      <c r="A144" s="3" t="s">
        <v>259</v>
      </c>
      <c r="B144" s="1">
        <v>10637.24</v>
      </c>
    </row>
    <row r="145" spans="1:2" x14ac:dyDescent="0.25">
      <c r="A145" s="3" t="s">
        <v>426</v>
      </c>
      <c r="B145" s="1">
        <v>2081.67</v>
      </c>
    </row>
    <row r="146" spans="1:2" x14ac:dyDescent="0.25">
      <c r="A146" s="3" t="s">
        <v>250</v>
      </c>
      <c r="B146" s="1">
        <v>11311.39</v>
      </c>
    </row>
    <row r="147" spans="1:2" x14ac:dyDescent="0.25">
      <c r="A147" s="3" t="s">
        <v>315</v>
      </c>
      <c r="B147" s="1">
        <v>4916.67</v>
      </c>
    </row>
    <row r="148" spans="1:2" x14ac:dyDescent="0.25">
      <c r="A148" s="3" t="s">
        <v>621</v>
      </c>
      <c r="B148" s="1">
        <v>3576.5899999999997</v>
      </c>
    </row>
    <row r="149" spans="1:2" x14ac:dyDescent="0.25">
      <c r="A149" s="3" t="s">
        <v>161</v>
      </c>
      <c r="B149" s="1">
        <v>7913.1200000000008</v>
      </c>
    </row>
    <row r="150" spans="1:2" x14ac:dyDescent="0.25">
      <c r="A150" s="3" t="s">
        <v>536</v>
      </c>
      <c r="B150" s="1">
        <v>15561.31</v>
      </c>
    </row>
    <row r="151" spans="1:2" x14ac:dyDescent="0.25">
      <c r="A151" s="3" t="s">
        <v>781</v>
      </c>
      <c r="B151" s="1">
        <v>9932.619999999999</v>
      </c>
    </row>
    <row r="152" spans="1:2" x14ac:dyDescent="0.25">
      <c r="A152" s="3" t="s">
        <v>240</v>
      </c>
      <c r="B152" s="1">
        <v>5705.02</v>
      </c>
    </row>
    <row r="153" spans="1:2" x14ac:dyDescent="0.25">
      <c r="A153" s="3" t="s">
        <v>518</v>
      </c>
      <c r="B153" s="1">
        <v>492.34</v>
      </c>
    </row>
    <row r="154" spans="1:2" x14ac:dyDescent="0.25">
      <c r="A154" s="3" t="s">
        <v>707</v>
      </c>
      <c r="B154" s="1">
        <v>3942.96</v>
      </c>
    </row>
    <row r="155" spans="1:2" x14ac:dyDescent="0.25">
      <c r="A155" s="3" t="s">
        <v>1324</v>
      </c>
      <c r="B155" s="1">
        <v>2650.83</v>
      </c>
    </row>
    <row r="156" spans="1:2" x14ac:dyDescent="0.25">
      <c r="A156" s="3" t="s">
        <v>1386</v>
      </c>
      <c r="B156" s="1">
        <v>3420.82</v>
      </c>
    </row>
    <row r="157" spans="1:2" x14ac:dyDescent="0.25">
      <c r="A157" s="3" t="s">
        <v>508</v>
      </c>
      <c r="B157" s="1">
        <v>6475.6900000000005</v>
      </c>
    </row>
    <row r="158" spans="1:2" x14ac:dyDescent="0.25">
      <c r="A158" s="3" t="s">
        <v>297</v>
      </c>
      <c r="B158" s="1">
        <v>9682.64</v>
      </c>
    </row>
    <row r="159" spans="1:2" x14ac:dyDescent="0.25">
      <c r="A159" s="3" t="s">
        <v>559</v>
      </c>
      <c r="B159" s="1">
        <v>7042.42</v>
      </c>
    </row>
    <row r="160" spans="1:2" x14ac:dyDescent="0.25">
      <c r="A160" s="3" t="s">
        <v>126</v>
      </c>
      <c r="B160" s="1">
        <v>5522.57</v>
      </c>
    </row>
    <row r="161" spans="1:2" x14ac:dyDescent="0.25">
      <c r="A161" s="3" t="s">
        <v>767</v>
      </c>
      <c r="B161" s="1">
        <v>7036.8700000000008</v>
      </c>
    </row>
    <row r="162" spans="1:2" x14ac:dyDescent="0.25">
      <c r="A162" s="3" t="s">
        <v>1431</v>
      </c>
      <c r="B162" s="1">
        <v>3634.88</v>
      </c>
    </row>
    <row r="163" spans="1:2" x14ac:dyDescent="0.25">
      <c r="A163" s="3" t="s">
        <v>339</v>
      </c>
      <c r="B163" s="1">
        <v>7164.86</v>
      </c>
    </row>
    <row r="164" spans="1:2" x14ac:dyDescent="0.25">
      <c r="A164" s="3" t="s">
        <v>115</v>
      </c>
      <c r="B164" s="1">
        <v>12686.740000000002</v>
      </c>
    </row>
    <row r="165" spans="1:2" x14ac:dyDescent="0.25">
      <c r="A165" s="3" t="s">
        <v>293</v>
      </c>
      <c r="B165" s="1">
        <v>6592.96</v>
      </c>
    </row>
    <row r="166" spans="1:2" x14ac:dyDescent="0.25">
      <c r="A166" s="3" t="s">
        <v>580</v>
      </c>
      <c r="B166" s="1">
        <v>7389.04</v>
      </c>
    </row>
    <row r="167" spans="1:2" x14ac:dyDescent="0.25">
      <c r="A167" s="3" t="s">
        <v>404</v>
      </c>
      <c r="B167" s="1">
        <v>6851.84</v>
      </c>
    </row>
    <row r="168" spans="1:2" x14ac:dyDescent="0.25">
      <c r="A168" s="3" t="s">
        <v>195</v>
      </c>
      <c r="B168" s="1">
        <v>4522.63</v>
      </c>
    </row>
    <row r="169" spans="1:2" x14ac:dyDescent="0.25">
      <c r="A169" s="3" t="s">
        <v>1129</v>
      </c>
      <c r="B169" s="1">
        <v>6968.49</v>
      </c>
    </row>
    <row r="170" spans="1:2" x14ac:dyDescent="0.25">
      <c r="A170" s="3" t="s">
        <v>955</v>
      </c>
      <c r="B170" s="1">
        <v>10523.490000000002</v>
      </c>
    </row>
    <row r="171" spans="1:2" x14ac:dyDescent="0.25">
      <c r="A171" s="3" t="s">
        <v>600</v>
      </c>
      <c r="B171" s="1">
        <v>9654.5499999999993</v>
      </c>
    </row>
    <row r="172" spans="1:2" x14ac:dyDescent="0.25">
      <c r="A172" s="3" t="s">
        <v>735</v>
      </c>
      <c r="B172" s="1">
        <v>11578.73</v>
      </c>
    </row>
    <row r="173" spans="1:2" x14ac:dyDescent="0.25">
      <c r="A173" s="3" t="s">
        <v>178</v>
      </c>
      <c r="B173" s="1">
        <v>7314.9500000000007</v>
      </c>
    </row>
    <row r="174" spans="1:2" x14ac:dyDescent="0.25">
      <c r="A174" s="3" t="s">
        <v>1219</v>
      </c>
      <c r="B174" s="1">
        <v>4992.32</v>
      </c>
    </row>
    <row r="175" spans="1:2" x14ac:dyDescent="0.25">
      <c r="A175" s="3" t="s">
        <v>1133</v>
      </c>
      <c r="B175" s="1">
        <v>4191.21</v>
      </c>
    </row>
    <row r="176" spans="1:2" x14ac:dyDescent="0.25">
      <c r="A176" s="3" t="s">
        <v>328</v>
      </c>
      <c r="B176" s="1">
        <v>1343.75</v>
      </c>
    </row>
    <row r="177" spans="1:2" x14ac:dyDescent="0.25">
      <c r="A177" s="3" t="s">
        <v>497</v>
      </c>
      <c r="B177" s="1">
        <v>8740.7800000000007</v>
      </c>
    </row>
    <row r="178" spans="1:2" x14ac:dyDescent="0.25">
      <c r="A178" s="3" t="s">
        <v>279</v>
      </c>
      <c r="B178" s="1">
        <v>9513.02</v>
      </c>
    </row>
    <row r="179" spans="1:2" x14ac:dyDescent="0.25">
      <c r="A179" s="3" t="s">
        <v>1062</v>
      </c>
      <c r="B179" s="1">
        <v>9435.36</v>
      </c>
    </row>
    <row r="180" spans="1:2" x14ac:dyDescent="0.25">
      <c r="A180" s="3" t="s">
        <v>341</v>
      </c>
      <c r="B180" s="1">
        <v>8160.33</v>
      </c>
    </row>
    <row r="181" spans="1:2" x14ac:dyDescent="0.25">
      <c r="A181" s="3" t="s">
        <v>773</v>
      </c>
      <c r="B181" s="1">
        <v>6925.87</v>
      </c>
    </row>
    <row r="182" spans="1:2" x14ac:dyDescent="0.25">
      <c r="A182" s="3" t="s">
        <v>64</v>
      </c>
      <c r="B182" s="1">
        <v>12133.829999999998</v>
      </c>
    </row>
    <row r="183" spans="1:2" x14ac:dyDescent="0.25">
      <c r="A183" s="3" t="s">
        <v>451</v>
      </c>
      <c r="B183" s="1">
        <v>5090.04</v>
      </c>
    </row>
    <row r="184" spans="1:2" x14ac:dyDescent="0.25">
      <c r="A184" s="3" t="s">
        <v>573</v>
      </c>
      <c r="B184" s="1">
        <v>5685.87</v>
      </c>
    </row>
    <row r="185" spans="1:2" x14ac:dyDescent="0.25">
      <c r="A185" s="3" t="s">
        <v>702</v>
      </c>
      <c r="B185" s="1">
        <v>6166.3099999999995</v>
      </c>
    </row>
    <row r="186" spans="1:2" x14ac:dyDescent="0.25">
      <c r="A186" s="3" t="s">
        <v>659</v>
      </c>
      <c r="B186" s="1">
        <v>7525.2000000000007</v>
      </c>
    </row>
    <row r="187" spans="1:2" x14ac:dyDescent="0.25">
      <c r="A187" s="3" t="s">
        <v>713</v>
      </c>
      <c r="B187" s="1">
        <v>2902.61</v>
      </c>
    </row>
    <row r="188" spans="1:2" x14ac:dyDescent="0.25">
      <c r="A188" s="3" t="s">
        <v>1125</v>
      </c>
      <c r="B188" s="1">
        <v>2924.2400000000002</v>
      </c>
    </row>
    <row r="189" spans="1:2" x14ac:dyDescent="0.25">
      <c r="A189" s="3" t="s">
        <v>1011</v>
      </c>
      <c r="B189" s="1">
        <v>4425.21</v>
      </c>
    </row>
    <row r="190" spans="1:2" x14ac:dyDescent="0.25">
      <c r="A190" s="3" t="s">
        <v>513</v>
      </c>
      <c r="B190" s="1">
        <v>4338.21</v>
      </c>
    </row>
    <row r="191" spans="1:2" x14ac:dyDescent="0.25">
      <c r="A191" s="3" t="s">
        <v>751</v>
      </c>
      <c r="B191" s="1">
        <v>6849.97</v>
      </c>
    </row>
    <row r="192" spans="1:2" x14ac:dyDescent="0.25">
      <c r="A192" s="3" t="s">
        <v>1347</v>
      </c>
      <c r="B192" s="1">
        <v>831.16</v>
      </c>
    </row>
    <row r="193" spans="1:2" x14ac:dyDescent="0.25">
      <c r="A193" s="3" t="s">
        <v>746</v>
      </c>
      <c r="B193" s="1">
        <v>4272.6499999999996</v>
      </c>
    </row>
    <row r="194" spans="1:2" x14ac:dyDescent="0.25">
      <c r="A194" s="3" t="s">
        <v>721</v>
      </c>
      <c r="B194" s="1">
        <v>5996.7599999999993</v>
      </c>
    </row>
    <row r="195" spans="1:2" x14ac:dyDescent="0.25">
      <c r="A195" s="3" t="s">
        <v>414</v>
      </c>
      <c r="B195" s="1">
        <v>18536.12</v>
      </c>
    </row>
    <row r="196" spans="1:2" x14ac:dyDescent="0.25">
      <c r="A196" s="3" t="s">
        <v>700</v>
      </c>
      <c r="B196" s="1">
        <v>10007.52</v>
      </c>
    </row>
    <row r="197" spans="1:2" x14ac:dyDescent="0.25">
      <c r="A197" s="3" t="s">
        <v>275</v>
      </c>
      <c r="B197" s="1">
        <v>9316.61</v>
      </c>
    </row>
    <row r="198" spans="1:2" x14ac:dyDescent="0.25">
      <c r="A198" s="3" t="s">
        <v>277</v>
      </c>
      <c r="B198" s="1">
        <v>6572.6399999999994</v>
      </c>
    </row>
    <row r="199" spans="1:2" x14ac:dyDescent="0.25">
      <c r="A199" s="3" t="s">
        <v>556</v>
      </c>
      <c r="B199" s="1">
        <v>5974.39</v>
      </c>
    </row>
    <row r="200" spans="1:2" x14ac:dyDescent="0.25">
      <c r="A200" s="3" t="s">
        <v>17</v>
      </c>
      <c r="B200" s="1">
        <v>9410.3000000000011</v>
      </c>
    </row>
    <row r="201" spans="1:2" x14ac:dyDescent="0.25">
      <c r="A201" s="3" t="s">
        <v>832</v>
      </c>
      <c r="B201" s="1">
        <v>4000.27</v>
      </c>
    </row>
    <row r="202" spans="1:2" x14ac:dyDescent="0.25">
      <c r="A202" s="3" t="s">
        <v>96</v>
      </c>
      <c r="B202" s="1">
        <v>9166.39</v>
      </c>
    </row>
    <row r="203" spans="1:2" x14ac:dyDescent="0.25">
      <c r="A203" s="3" t="s">
        <v>711</v>
      </c>
      <c r="B203" s="1">
        <v>14329.009999999998</v>
      </c>
    </row>
    <row r="204" spans="1:2" x14ac:dyDescent="0.25">
      <c r="A204" s="3" t="s">
        <v>358</v>
      </c>
      <c r="B204" s="1">
        <v>11559.6</v>
      </c>
    </row>
    <row r="205" spans="1:2" x14ac:dyDescent="0.25">
      <c r="A205" s="3" t="s">
        <v>1019</v>
      </c>
      <c r="B205" s="1">
        <v>4880.6499999999996</v>
      </c>
    </row>
    <row r="206" spans="1:2" x14ac:dyDescent="0.25">
      <c r="A206" s="3" t="s">
        <v>885</v>
      </c>
      <c r="B206" s="1">
        <v>4235.71</v>
      </c>
    </row>
    <row r="207" spans="1:2" x14ac:dyDescent="0.25">
      <c r="A207" s="3" t="s">
        <v>121</v>
      </c>
      <c r="B207" s="1">
        <v>8272.7000000000007</v>
      </c>
    </row>
    <row r="208" spans="1:2" x14ac:dyDescent="0.25">
      <c r="A208" s="3" t="s">
        <v>395</v>
      </c>
      <c r="B208" s="1">
        <v>12034.02</v>
      </c>
    </row>
    <row r="209" spans="1:2" x14ac:dyDescent="0.25">
      <c r="A209" s="3" t="s">
        <v>761</v>
      </c>
      <c r="B209" s="1">
        <v>3623</v>
      </c>
    </row>
    <row r="210" spans="1:2" x14ac:dyDescent="0.25">
      <c r="A210" s="3" t="s">
        <v>81</v>
      </c>
      <c r="B210" s="1">
        <v>7388.9800000000005</v>
      </c>
    </row>
    <row r="211" spans="1:2" x14ac:dyDescent="0.25">
      <c r="A211" s="3" t="s">
        <v>170</v>
      </c>
      <c r="B211" s="1">
        <v>7347.52</v>
      </c>
    </row>
    <row r="212" spans="1:2" x14ac:dyDescent="0.25">
      <c r="A212" s="3" t="s">
        <v>1241</v>
      </c>
      <c r="B212" s="1">
        <v>1287.3399999999999</v>
      </c>
    </row>
    <row r="213" spans="1:2" x14ac:dyDescent="0.25">
      <c r="A213" s="3" t="s">
        <v>264</v>
      </c>
      <c r="B213" s="1">
        <v>4970.3600000000006</v>
      </c>
    </row>
    <row r="214" spans="1:2" x14ac:dyDescent="0.25">
      <c r="A214" s="3" t="s">
        <v>951</v>
      </c>
      <c r="B214" s="1">
        <v>11207.03</v>
      </c>
    </row>
    <row r="215" spans="1:2" x14ac:dyDescent="0.25">
      <c r="A215" s="3" t="s">
        <v>698</v>
      </c>
      <c r="B215" s="1">
        <v>4874.18</v>
      </c>
    </row>
    <row r="216" spans="1:2" x14ac:dyDescent="0.25">
      <c r="A216" s="3" t="s">
        <v>976</v>
      </c>
      <c r="B216" s="1">
        <v>5855.98</v>
      </c>
    </row>
    <row r="217" spans="1:2" x14ac:dyDescent="0.25">
      <c r="A217" s="3" t="s">
        <v>337</v>
      </c>
      <c r="B217" s="1">
        <v>10011</v>
      </c>
    </row>
    <row r="218" spans="1:2" x14ac:dyDescent="0.25">
      <c r="A218" s="3" t="s">
        <v>323</v>
      </c>
      <c r="B218" s="1">
        <v>11496.54</v>
      </c>
    </row>
    <row r="219" spans="1:2" x14ac:dyDescent="0.25">
      <c r="A219" s="3" t="s">
        <v>994</v>
      </c>
      <c r="B219" s="1">
        <v>2295.6799999999998</v>
      </c>
    </row>
    <row r="220" spans="1:2" x14ac:dyDescent="0.25">
      <c r="A220" s="3" t="s">
        <v>214</v>
      </c>
      <c r="B220" s="1">
        <v>4678.29</v>
      </c>
    </row>
    <row r="221" spans="1:2" x14ac:dyDescent="0.25">
      <c r="A221" s="3" t="s">
        <v>526</v>
      </c>
      <c r="B221" s="1">
        <v>5865.62</v>
      </c>
    </row>
    <row r="222" spans="1:2" x14ac:dyDescent="0.25">
      <c r="A222" s="3" t="s">
        <v>172</v>
      </c>
      <c r="B222" s="1">
        <v>13845.5</v>
      </c>
    </row>
    <row r="223" spans="1:2" x14ac:dyDescent="0.25">
      <c r="A223" s="3" t="s">
        <v>326</v>
      </c>
      <c r="B223" s="1">
        <v>20369.670000000002</v>
      </c>
    </row>
    <row r="224" spans="1:2" x14ac:dyDescent="0.25">
      <c r="A224" s="3" t="s">
        <v>506</v>
      </c>
      <c r="B224" s="1">
        <v>19762.68</v>
      </c>
    </row>
    <row r="225" spans="1:2" x14ac:dyDescent="0.25">
      <c r="A225" s="3" t="s">
        <v>197</v>
      </c>
      <c r="B225" s="1">
        <v>10643.990000000002</v>
      </c>
    </row>
    <row r="226" spans="1:2" x14ac:dyDescent="0.25">
      <c r="A226" s="3" t="s">
        <v>442</v>
      </c>
      <c r="B226" s="1">
        <v>1824.52</v>
      </c>
    </row>
    <row r="227" spans="1:2" x14ac:dyDescent="0.25">
      <c r="A227" s="3" t="s">
        <v>205</v>
      </c>
      <c r="B227" s="1">
        <v>14116.55</v>
      </c>
    </row>
    <row r="228" spans="1:2" x14ac:dyDescent="0.25">
      <c r="A228" s="3" t="s">
        <v>828</v>
      </c>
      <c r="B228" s="1">
        <v>8228.93</v>
      </c>
    </row>
    <row r="229" spans="1:2" x14ac:dyDescent="0.25">
      <c r="A229" s="3" t="s">
        <v>20</v>
      </c>
      <c r="B229" s="1">
        <v>5720.85</v>
      </c>
    </row>
    <row r="230" spans="1:2" x14ac:dyDescent="0.25">
      <c r="A230" s="3" t="s">
        <v>989</v>
      </c>
      <c r="B230" s="1">
        <v>7153.35</v>
      </c>
    </row>
    <row r="231" spans="1:2" x14ac:dyDescent="0.25">
      <c r="A231" s="3" t="s">
        <v>804</v>
      </c>
      <c r="B231" s="1">
        <v>7237.74</v>
      </c>
    </row>
    <row r="232" spans="1:2" x14ac:dyDescent="0.25">
      <c r="A232" s="3" t="s">
        <v>576</v>
      </c>
      <c r="B232" s="1">
        <v>5096.26</v>
      </c>
    </row>
    <row r="233" spans="1:2" x14ac:dyDescent="0.25">
      <c r="A233" s="3" t="s">
        <v>134</v>
      </c>
      <c r="B233" s="1">
        <v>9240.2999999999993</v>
      </c>
    </row>
    <row r="234" spans="1:2" x14ac:dyDescent="0.25">
      <c r="A234" s="3" t="s">
        <v>45</v>
      </c>
      <c r="B234" s="1">
        <v>2344.8000000000002</v>
      </c>
    </row>
    <row r="235" spans="1:2" x14ac:dyDescent="0.25">
      <c r="A235" s="3" t="s">
        <v>379</v>
      </c>
      <c r="B235" s="1">
        <v>9693.2300000000014</v>
      </c>
    </row>
    <row r="236" spans="1:2" x14ac:dyDescent="0.25">
      <c r="A236" s="3" t="s">
        <v>343</v>
      </c>
      <c r="B236" s="1">
        <v>18252.079999999998</v>
      </c>
    </row>
    <row r="237" spans="1:2" x14ac:dyDescent="0.25">
      <c r="A237" s="3" t="s">
        <v>226</v>
      </c>
      <c r="B237" s="1">
        <v>11130.69</v>
      </c>
    </row>
    <row r="238" spans="1:2" x14ac:dyDescent="0.25">
      <c r="A238" s="3" t="s">
        <v>1373</v>
      </c>
      <c r="B238" s="1">
        <v>2341.9900000000002</v>
      </c>
    </row>
    <row r="239" spans="1:2" x14ac:dyDescent="0.25">
      <c r="A239" s="3" t="s">
        <v>309</v>
      </c>
      <c r="B239" s="1">
        <v>8685.82</v>
      </c>
    </row>
    <row r="240" spans="1:2" x14ac:dyDescent="0.25">
      <c r="A240" s="3" t="s">
        <v>75</v>
      </c>
      <c r="B240" s="1">
        <v>3207.77</v>
      </c>
    </row>
    <row r="241" spans="1:2" x14ac:dyDescent="0.25">
      <c r="A241" s="3" t="s">
        <v>237</v>
      </c>
      <c r="B241" s="1">
        <v>659.03</v>
      </c>
    </row>
    <row r="242" spans="1:2" x14ac:dyDescent="0.25">
      <c r="A242" s="3" t="s">
        <v>354</v>
      </c>
      <c r="B242" s="1">
        <v>1118.5</v>
      </c>
    </row>
    <row r="243" spans="1:2" x14ac:dyDescent="0.25">
      <c r="A243" s="3" t="s">
        <v>568</v>
      </c>
      <c r="B243" s="1">
        <v>1829.19</v>
      </c>
    </row>
    <row r="244" spans="1:2" x14ac:dyDescent="0.25">
      <c r="A244" s="3" t="s">
        <v>938</v>
      </c>
      <c r="B244" s="1">
        <v>1040.6299999999999</v>
      </c>
    </row>
    <row r="245" spans="1:2" x14ac:dyDescent="0.25">
      <c r="A245" s="3" t="s">
        <v>1290</v>
      </c>
      <c r="B245" s="1">
        <v>5324.66</v>
      </c>
    </row>
    <row r="246" spans="1:2" x14ac:dyDescent="0.25">
      <c r="A246" s="3" t="s">
        <v>1072</v>
      </c>
      <c r="B246" s="1">
        <v>5881.5</v>
      </c>
    </row>
    <row r="247" spans="1:2" x14ac:dyDescent="0.25">
      <c r="A247" s="3" t="s">
        <v>472</v>
      </c>
      <c r="B247" s="1">
        <v>9217.26</v>
      </c>
    </row>
    <row r="248" spans="1:2" x14ac:dyDescent="0.25">
      <c r="A248" s="3" t="s">
        <v>566</v>
      </c>
      <c r="B248" s="1">
        <v>8532.3500000000022</v>
      </c>
    </row>
    <row r="249" spans="1:2" x14ac:dyDescent="0.25">
      <c r="A249" s="3" t="s">
        <v>397</v>
      </c>
      <c r="B249" s="1">
        <v>2100.46</v>
      </c>
    </row>
    <row r="250" spans="1:2" x14ac:dyDescent="0.25">
      <c r="A250" s="3" t="s">
        <v>109</v>
      </c>
      <c r="B250" s="1">
        <v>3953.5</v>
      </c>
    </row>
    <row r="251" spans="1:2" x14ac:dyDescent="0.25">
      <c r="A251" s="3" t="s">
        <v>478</v>
      </c>
      <c r="B251" s="1">
        <v>6911.25</v>
      </c>
    </row>
    <row r="252" spans="1:2" x14ac:dyDescent="0.25">
      <c r="A252" s="3" t="s">
        <v>491</v>
      </c>
      <c r="B252" s="1">
        <v>11998.48</v>
      </c>
    </row>
    <row r="253" spans="1:2" x14ac:dyDescent="0.25">
      <c r="A253" s="3" t="s">
        <v>476</v>
      </c>
      <c r="B253" s="1">
        <v>15943.699999999999</v>
      </c>
    </row>
    <row r="254" spans="1:2" x14ac:dyDescent="0.25">
      <c r="A254" s="3" t="s">
        <v>515</v>
      </c>
      <c r="B254" s="1">
        <v>9326.7000000000007</v>
      </c>
    </row>
    <row r="255" spans="1:2" x14ac:dyDescent="0.25">
      <c r="A255" s="3" t="s">
        <v>968</v>
      </c>
      <c r="B255" s="1">
        <v>3363.2200000000003</v>
      </c>
    </row>
    <row r="256" spans="1:2" x14ac:dyDescent="0.25">
      <c r="A256" s="3" t="s">
        <v>1319</v>
      </c>
      <c r="B256" s="1">
        <v>4625.82</v>
      </c>
    </row>
    <row r="257" spans="1:2" x14ac:dyDescent="0.25">
      <c r="A257" s="3" t="s">
        <v>374</v>
      </c>
      <c r="B257" s="1">
        <v>7262.3200000000006</v>
      </c>
    </row>
    <row r="258" spans="1:2" x14ac:dyDescent="0.25">
      <c r="A258" s="3" t="s">
        <v>639</v>
      </c>
      <c r="B258" s="1">
        <v>974.52</v>
      </c>
    </row>
    <row r="259" spans="1:2" x14ac:dyDescent="0.25">
      <c r="A259" s="3" t="s">
        <v>656</v>
      </c>
      <c r="B259" s="1">
        <v>14596.16</v>
      </c>
    </row>
    <row r="260" spans="1:2" x14ac:dyDescent="0.25">
      <c r="A260" s="3" t="s">
        <v>1378</v>
      </c>
      <c r="B260" s="1">
        <v>2053.85</v>
      </c>
    </row>
    <row r="261" spans="1:2" x14ac:dyDescent="0.25">
      <c r="A261" s="3" t="s">
        <v>168</v>
      </c>
      <c r="B261" s="1">
        <v>5144.1099999999997</v>
      </c>
    </row>
    <row r="262" spans="1:2" x14ac:dyDescent="0.25">
      <c r="A262" s="3" t="s">
        <v>1127</v>
      </c>
      <c r="B262" s="1">
        <v>2120.89</v>
      </c>
    </row>
    <row r="263" spans="1:2" x14ac:dyDescent="0.25">
      <c r="A263" s="3" t="s">
        <v>624</v>
      </c>
      <c r="B263" s="1">
        <v>12801.859999999999</v>
      </c>
    </row>
    <row r="264" spans="1:2" x14ac:dyDescent="0.25">
      <c r="A264" s="3" t="s">
        <v>13</v>
      </c>
      <c r="B264" s="1">
        <v>5480.96</v>
      </c>
    </row>
    <row r="265" spans="1:2" x14ac:dyDescent="0.25">
      <c r="A265" s="3" t="s">
        <v>1024</v>
      </c>
      <c r="B265" s="1">
        <v>4597.0199999999995</v>
      </c>
    </row>
    <row r="266" spans="1:2" x14ac:dyDescent="0.25">
      <c r="A266" s="3" t="s">
        <v>759</v>
      </c>
      <c r="B266" s="1">
        <v>4586.12</v>
      </c>
    </row>
    <row r="267" spans="1:2" x14ac:dyDescent="0.25">
      <c r="A267" s="3" t="s">
        <v>1052</v>
      </c>
      <c r="B267" s="1">
        <v>1177.3399999999999</v>
      </c>
    </row>
    <row r="268" spans="1:2" x14ac:dyDescent="0.25">
      <c r="A268" s="3" t="s">
        <v>148</v>
      </c>
      <c r="B268" s="1">
        <v>12973.869999999999</v>
      </c>
    </row>
    <row r="269" spans="1:2" x14ac:dyDescent="0.25">
      <c r="A269" s="3" t="s">
        <v>220</v>
      </c>
      <c r="B269" s="1">
        <v>18236.43</v>
      </c>
    </row>
    <row r="270" spans="1:2" x14ac:dyDescent="0.25">
      <c r="A270" s="3" t="s">
        <v>248</v>
      </c>
      <c r="B270" s="1">
        <v>14499.74</v>
      </c>
    </row>
    <row r="271" spans="1:2" x14ac:dyDescent="0.25">
      <c r="A271" s="3" t="s">
        <v>366</v>
      </c>
      <c r="B271" s="1">
        <v>14293.34</v>
      </c>
    </row>
    <row r="272" spans="1:2" x14ac:dyDescent="0.25">
      <c r="A272" s="3" t="s">
        <v>399</v>
      </c>
      <c r="B272" s="1">
        <v>4251.6499999999996</v>
      </c>
    </row>
    <row r="273" spans="1:2" x14ac:dyDescent="0.25">
      <c r="A273" s="3" t="s">
        <v>595</v>
      </c>
      <c r="B273" s="1">
        <v>5284.64</v>
      </c>
    </row>
    <row r="274" spans="1:2" x14ac:dyDescent="0.25">
      <c r="A274" s="3" t="s">
        <v>459</v>
      </c>
      <c r="B274" s="1">
        <v>6040.04</v>
      </c>
    </row>
    <row r="275" spans="1:2" x14ac:dyDescent="0.25">
      <c r="A275" s="3" t="s">
        <v>350</v>
      </c>
      <c r="B275" s="1">
        <v>9033.26</v>
      </c>
    </row>
    <row r="276" spans="1:2" x14ac:dyDescent="0.25">
      <c r="A276" s="3" t="s">
        <v>631</v>
      </c>
      <c r="B276" s="1">
        <v>746.53</v>
      </c>
    </row>
    <row r="277" spans="1:2" x14ac:dyDescent="0.25">
      <c r="A277" s="3" t="s">
        <v>1076</v>
      </c>
      <c r="B277" s="1">
        <v>8820.44</v>
      </c>
    </row>
    <row r="278" spans="1:2" x14ac:dyDescent="0.25">
      <c r="A278" s="3" t="s">
        <v>408</v>
      </c>
      <c r="B278" s="1">
        <v>9375.2800000000007</v>
      </c>
    </row>
    <row r="279" spans="1:2" x14ac:dyDescent="0.25">
      <c r="A279" s="3" t="s">
        <v>50</v>
      </c>
      <c r="B279" s="1">
        <v>5087.59</v>
      </c>
    </row>
    <row r="280" spans="1:2" x14ac:dyDescent="0.25">
      <c r="A280" s="3" t="s">
        <v>928</v>
      </c>
      <c r="B280" s="1">
        <v>1994.17</v>
      </c>
    </row>
    <row r="281" spans="1:2" x14ac:dyDescent="0.25">
      <c r="A281" s="3" t="s">
        <v>878</v>
      </c>
      <c r="B281" s="1">
        <v>6101.98</v>
      </c>
    </row>
    <row r="282" spans="1:2" x14ac:dyDescent="0.25">
      <c r="A282" s="3" t="s">
        <v>1136</v>
      </c>
      <c r="B282" s="1">
        <v>5449.13</v>
      </c>
    </row>
    <row r="283" spans="1:2" x14ac:dyDescent="0.25">
      <c r="A283" s="3" t="s">
        <v>552</v>
      </c>
      <c r="B283" s="1">
        <v>9327.2699999999986</v>
      </c>
    </row>
    <row r="284" spans="1:2" x14ac:dyDescent="0.25">
      <c r="A284" s="3" t="s">
        <v>585</v>
      </c>
      <c r="B284" s="1">
        <v>1401.1</v>
      </c>
    </row>
    <row r="285" spans="1:2" x14ac:dyDescent="0.25">
      <c r="A285" s="3" t="s">
        <v>502</v>
      </c>
      <c r="B285" s="1">
        <v>6435.62</v>
      </c>
    </row>
    <row r="286" spans="1:2" x14ac:dyDescent="0.25">
      <c r="A286" s="3" t="s">
        <v>53</v>
      </c>
      <c r="B286" s="1">
        <v>9279.91</v>
      </c>
    </row>
    <row r="287" spans="1:2" x14ac:dyDescent="0.25">
      <c r="A287" s="3" t="s">
        <v>159</v>
      </c>
      <c r="B287" s="1">
        <v>23908.66</v>
      </c>
    </row>
    <row r="288" spans="1:2" x14ac:dyDescent="0.25">
      <c r="A288" s="3" t="s">
        <v>661</v>
      </c>
      <c r="B288" s="1">
        <v>4380.74</v>
      </c>
    </row>
    <row r="289" spans="1:2" x14ac:dyDescent="0.25">
      <c r="A289" s="3" t="s">
        <v>245</v>
      </c>
      <c r="B289" s="1">
        <v>10645.03</v>
      </c>
    </row>
    <row r="290" spans="1:2" x14ac:dyDescent="0.25">
      <c r="A290" s="3" t="s">
        <v>650</v>
      </c>
      <c r="B290" s="1">
        <v>8650</v>
      </c>
    </row>
    <row r="291" spans="1:2" x14ac:dyDescent="0.25">
      <c r="A291" s="3" t="s">
        <v>787</v>
      </c>
      <c r="B291" s="1">
        <v>6829.98</v>
      </c>
    </row>
    <row r="292" spans="1:2" x14ac:dyDescent="0.25">
      <c r="A292" s="3" t="s">
        <v>145</v>
      </c>
      <c r="B292" s="1">
        <v>14287.259999999998</v>
      </c>
    </row>
    <row r="293" spans="1:2" x14ac:dyDescent="0.25">
      <c r="A293" s="3" t="s">
        <v>368</v>
      </c>
      <c r="B293" s="1">
        <v>9200.52</v>
      </c>
    </row>
    <row r="294" spans="1:2" x14ac:dyDescent="0.25">
      <c r="A294" s="3" t="s">
        <v>1199</v>
      </c>
      <c r="B294" s="1">
        <v>1686.04</v>
      </c>
    </row>
    <row r="295" spans="1:2" x14ac:dyDescent="0.25">
      <c r="A295" s="3" t="s">
        <v>999</v>
      </c>
      <c r="B295" s="1">
        <v>1726.67</v>
      </c>
    </row>
    <row r="296" spans="1:2" x14ac:dyDescent="0.25">
      <c r="A296" s="3" t="s">
        <v>868</v>
      </c>
      <c r="B296" s="1">
        <v>286.02</v>
      </c>
    </row>
    <row r="297" spans="1:2" x14ac:dyDescent="0.25">
      <c r="A297" s="3" t="s">
        <v>73</v>
      </c>
      <c r="B297" s="1">
        <v>8555.76</v>
      </c>
    </row>
    <row r="298" spans="1:2" x14ac:dyDescent="0.25">
      <c r="A298" s="3" t="s">
        <v>1382</v>
      </c>
      <c r="B298" s="1">
        <v>5955.38</v>
      </c>
    </row>
    <row r="299" spans="1:2" x14ac:dyDescent="0.25">
      <c r="A299" s="3" t="s">
        <v>578</v>
      </c>
      <c r="B299" s="1">
        <v>12322.46</v>
      </c>
    </row>
    <row r="300" spans="1:2" x14ac:dyDescent="0.25">
      <c r="A300" s="3" t="s">
        <v>1074</v>
      </c>
      <c r="B300" s="1">
        <v>14508.78</v>
      </c>
    </row>
    <row r="301" spans="1:2" x14ac:dyDescent="0.25">
      <c r="A301" s="3" t="s">
        <v>794</v>
      </c>
      <c r="B301" s="1">
        <v>4426</v>
      </c>
    </row>
    <row r="302" spans="1:2" x14ac:dyDescent="0.25">
      <c r="A302" s="3" t="s">
        <v>242</v>
      </c>
      <c r="B302" s="1">
        <v>15364.929999999998</v>
      </c>
    </row>
    <row r="303" spans="1:2" x14ac:dyDescent="0.25">
      <c r="A303" s="3" t="s">
        <v>587</v>
      </c>
      <c r="B303" s="1">
        <v>5123.6899999999996</v>
      </c>
    </row>
    <row r="304" spans="1:2" x14ac:dyDescent="0.25">
      <c r="A304" s="3" t="s">
        <v>489</v>
      </c>
      <c r="B304" s="1">
        <v>1863.1499999999999</v>
      </c>
    </row>
    <row r="305" spans="1:2" x14ac:dyDescent="0.25">
      <c r="A305" s="3" t="s">
        <v>1353</v>
      </c>
      <c r="B305" s="1">
        <v>2215.41</v>
      </c>
    </row>
    <row r="306" spans="1:2" x14ac:dyDescent="0.25">
      <c r="A306" s="3" t="s">
        <v>554</v>
      </c>
      <c r="B306" s="1">
        <v>3128.73</v>
      </c>
    </row>
    <row r="307" spans="1:2" x14ac:dyDescent="0.25">
      <c r="A307" s="3" t="s">
        <v>849</v>
      </c>
      <c r="B307" s="1">
        <v>8861.7799999999988</v>
      </c>
    </row>
    <row r="308" spans="1:2" x14ac:dyDescent="0.25">
      <c r="A308" s="3" t="s">
        <v>440</v>
      </c>
      <c r="B308" s="1">
        <v>10598.19</v>
      </c>
    </row>
    <row r="309" spans="1:2" x14ac:dyDescent="0.25">
      <c r="A309" s="3" t="s">
        <v>705</v>
      </c>
      <c r="B309" s="1">
        <v>2022.8400000000001</v>
      </c>
    </row>
    <row r="310" spans="1:2" x14ac:dyDescent="0.25">
      <c r="A310" s="3" t="s">
        <v>438</v>
      </c>
      <c r="B310" s="1">
        <v>10853.619999999999</v>
      </c>
    </row>
    <row r="311" spans="1:2" x14ac:dyDescent="0.25">
      <c r="A311" s="3" t="s">
        <v>150</v>
      </c>
      <c r="B311" s="1">
        <v>12200.960000000001</v>
      </c>
    </row>
    <row r="312" spans="1:2" x14ac:dyDescent="0.25">
      <c r="A312" s="3" t="s">
        <v>542</v>
      </c>
      <c r="B312" s="1">
        <v>12557.79</v>
      </c>
    </row>
    <row r="313" spans="1:2" x14ac:dyDescent="0.25">
      <c r="A313" s="3" t="s">
        <v>504</v>
      </c>
      <c r="B313" s="1">
        <v>4354.8099999999995</v>
      </c>
    </row>
    <row r="314" spans="1:2" x14ac:dyDescent="0.25">
      <c r="A314" s="3" t="s">
        <v>524</v>
      </c>
      <c r="B314" s="1">
        <v>9446.1699999999983</v>
      </c>
    </row>
    <row r="315" spans="1:2" x14ac:dyDescent="0.25">
      <c r="A315" s="3" t="s">
        <v>510</v>
      </c>
      <c r="B315" s="1">
        <v>8586.2000000000007</v>
      </c>
    </row>
    <row r="316" spans="1:2" x14ac:dyDescent="0.25">
      <c r="A316" s="3" t="s">
        <v>307</v>
      </c>
      <c r="B316" s="1">
        <v>6961.88</v>
      </c>
    </row>
    <row r="317" spans="1:2" x14ac:dyDescent="0.25">
      <c r="A317" s="3" t="s">
        <v>300</v>
      </c>
      <c r="B317" s="1">
        <v>4943.2299999999996</v>
      </c>
    </row>
    <row r="318" spans="1:2" x14ac:dyDescent="0.25">
      <c r="A318" s="3" t="s">
        <v>67</v>
      </c>
      <c r="B318" s="1">
        <v>3887.0499999999997</v>
      </c>
    </row>
    <row r="319" spans="1:2" x14ac:dyDescent="0.25">
      <c r="A319" s="3" t="s">
        <v>305</v>
      </c>
      <c r="B319" s="1">
        <v>5536.4699999999993</v>
      </c>
    </row>
    <row r="320" spans="1:2" x14ac:dyDescent="0.25">
      <c r="A320" s="3" t="s">
        <v>1208</v>
      </c>
      <c r="B320" s="1">
        <v>7194.52</v>
      </c>
    </row>
    <row r="321" spans="1:2" x14ac:dyDescent="0.25">
      <c r="A321" s="3" t="s">
        <v>377</v>
      </c>
      <c r="B321" s="1">
        <v>6851.67</v>
      </c>
    </row>
    <row r="322" spans="1:2" x14ac:dyDescent="0.25">
      <c r="A322" s="3" t="s">
        <v>637</v>
      </c>
      <c r="B322" s="1">
        <v>15613.47</v>
      </c>
    </row>
    <row r="323" spans="1:2" x14ac:dyDescent="0.25">
      <c r="A323" s="3" t="s">
        <v>217</v>
      </c>
      <c r="B323" s="1">
        <v>13510.449999999999</v>
      </c>
    </row>
    <row r="324" spans="1:2" x14ac:dyDescent="0.25">
      <c r="A324" s="3" t="s">
        <v>783</v>
      </c>
      <c r="B324" s="1">
        <v>1866.13</v>
      </c>
    </row>
    <row r="325" spans="1:2" x14ac:dyDescent="0.25">
      <c r="A325" s="3" t="s">
        <v>118</v>
      </c>
      <c r="B325" s="1">
        <v>8380.09</v>
      </c>
    </row>
    <row r="326" spans="1:2" x14ac:dyDescent="0.25">
      <c r="A326" s="3" t="s">
        <v>166</v>
      </c>
      <c r="B326" s="1">
        <v>3707.19</v>
      </c>
    </row>
    <row r="327" spans="1:2" x14ac:dyDescent="0.25">
      <c r="A327" s="3" t="s">
        <v>273</v>
      </c>
      <c r="B327" s="1">
        <v>4200.72</v>
      </c>
    </row>
    <row r="328" spans="1:2" x14ac:dyDescent="0.25">
      <c r="A328" s="3" t="s">
        <v>641</v>
      </c>
      <c r="B328" s="1">
        <v>13661.2</v>
      </c>
    </row>
    <row r="329" spans="1:2" x14ac:dyDescent="0.25">
      <c r="A329" s="3" t="s">
        <v>266</v>
      </c>
      <c r="B329" s="1">
        <v>6923.2099999999991</v>
      </c>
    </row>
    <row r="330" spans="1:2" x14ac:dyDescent="0.25">
      <c r="A330" s="3" t="s">
        <v>189</v>
      </c>
      <c r="B330" s="1">
        <v>7391.04</v>
      </c>
    </row>
    <row r="331" spans="1:2" x14ac:dyDescent="0.25">
      <c r="A331" s="3" t="s">
        <v>335</v>
      </c>
      <c r="B331" s="1">
        <v>13661.22</v>
      </c>
    </row>
    <row r="332" spans="1:2" x14ac:dyDescent="0.25">
      <c r="A332" s="3" t="s">
        <v>593</v>
      </c>
      <c r="B332" s="1">
        <v>6935.71</v>
      </c>
    </row>
    <row r="333" spans="1:2" x14ac:dyDescent="0.25">
      <c r="A333" s="3" t="s">
        <v>317</v>
      </c>
      <c r="B333" s="1">
        <v>10809.61</v>
      </c>
    </row>
    <row r="334" spans="1:2" x14ac:dyDescent="0.25">
      <c r="A334" s="3" t="s">
        <v>461</v>
      </c>
      <c r="B334" s="1">
        <v>10118.9</v>
      </c>
    </row>
    <row r="335" spans="1:2" x14ac:dyDescent="0.25">
      <c r="A335" s="3" t="s">
        <v>1146</v>
      </c>
      <c r="B335" s="1">
        <v>2899.91</v>
      </c>
    </row>
    <row r="336" spans="1:2" x14ac:dyDescent="0.25">
      <c r="A336" s="3" t="s">
        <v>583</v>
      </c>
      <c r="B336" s="1">
        <v>6897.8799999999992</v>
      </c>
    </row>
    <row r="337" spans="1:2" x14ac:dyDescent="0.25">
      <c r="A337" s="3" t="s">
        <v>1229</v>
      </c>
      <c r="B337" s="1">
        <v>947.22</v>
      </c>
    </row>
    <row r="338" spans="1:2" x14ac:dyDescent="0.25">
      <c r="A338" s="3" t="s">
        <v>690</v>
      </c>
      <c r="B338" s="1">
        <v>2353.14</v>
      </c>
    </row>
    <row r="339" spans="1:2" x14ac:dyDescent="0.25">
      <c r="A339" s="3" t="s">
        <v>402</v>
      </c>
      <c r="B339" s="1">
        <v>4656.21</v>
      </c>
    </row>
    <row r="340" spans="1:2" x14ac:dyDescent="0.25">
      <c r="A340" s="3" t="s">
        <v>137</v>
      </c>
      <c r="B340" s="1">
        <v>11993.06</v>
      </c>
    </row>
    <row r="341" spans="1:2" x14ac:dyDescent="0.25">
      <c r="A341" s="3" t="s">
        <v>295</v>
      </c>
      <c r="B341" s="1">
        <v>5416.78</v>
      </c>
    </row>
    <row r="342" spans="1:2" x14ac:dyDescent="0.25">
      <c r="A342" s="3" t="s">
        <v>352</v>
      </c>
      <c r="B342" s="1">
        <v>867.59999999999991</v>
      </c>
    </row>
    <row r="343" spans="1:2" x14ac:dyDescent="0.25">
      <c r="A343" s="3" t="s">
        <v>210</v>
      </c>
      <c r="B343" s="1">
        <v>1767.66</v>
      </c>
    </row>
    <row r="344" spans="1:2" x14ac:dyDescent="0.25">
      <c r="A344" s="3" t="s">
        <v>530</v>
      </c>
      <c r="B344" s="1">
        <v>5641.3799999999992</v>
      </c>
    </row>
    <row r="345" spans="1:2" x14ac:dyDescent="0.25">
      <c r="A345" s="3" t="s">
        <v>1108</v>
      </c>
      <c r="B345" s="1">
        <v>4943.6899999999996</v>
      </c>
    </row>
    <row r="346" spans="1:2" x14ac:dyDescent="0.25">
      <c r="A346" s="3" t="s">
        <v>654</v>
      </c>
      <c r="B346" s="1">
        <v>7721.36</v>
      </c>
    </row>
    <row r="347" spans="1:2" x14ac:dyDescent="0.25">
      <c r="A347" s="3" t="s">
        <v>547</v>
      </c>
      <c r="B347" s="1">
        <v>5380.9500000000007</v>
      </c>
    </row>
    <row r="348" spans="1:2" x14ac:dyDescent="0.25">
      <c r="A348" s="3" t="s">
        <v>1064</v>
      </c>
      <c r="B348" s="1">
        <v>5015.82</v>
      </c>
    </row>
    <row r="349" spans="1:2" x14ac:dyDescent="0.25">
      <c r="A349" s="3" t="s">
        <v>1458</v>
      </c>
      <c r="B349" s="1">
        <v>2477617.7600000002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A83E-5CAD-4A2A-9E99-C9610166456A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1457</v>
      </c>
      <c r="B3" t="s">
        <v>1456</v>
      </c>
    </row>
    <row r="4" spans="1:2" x14ac:dyDescent="0.25">
      <c r="A4" s="3" t="s">
        <v>34</v>
      </c>
      <c r="B4" s="1">
        <v>47552.3</v>
      </c>
    </row>
    <row r="5" spans="1:2" x14ac:dyDescent="0.25">
      <c r="A5" s="3" t="s">
        <v>218</v>
      </c>
      <c r="B5" s="1">
        <v>41860.480000000003</v>
      </c>
    </row>
    <row r="6" spans="1:2" x14ac:dyDescent="0.25">
      <c r="A6" s="3" t="s">
        <v>301</v>
      </c>
      <c r="B6" s="1">
        <v>42966.85</v>
      </c>
    </row>
    <row r="7" spans="1:2" x14ac:dyDescent="0.25">
      <c r="A7" s="3" t="s">
        <v>46</v>
      </c>
      <c r="B7" s="1">
        <v>44098.63</v>
      </c>
    </row>
    <row r="8" spans="1:2" x14ac:dyDescent="0.25">
      <c r="A8" s="3" t="s">
        <v>227</v>
      </c>
      <c r="B8" s="1">
        <v>44746.17</v>
      </c>
    </row>
    <row r="9" spans="1:2" x14ac:dyDescent="0.25">
      <c r="A9" s="3" t="s">
        <v>1458</v>
      </c>
      <c r="B9" s="1">
        <v>221224.43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4650-DF0A-47C2-8FBD-E02FE55E53C5}">
  <dimension ref="A3:E9"/>
  <sheetViews>
    <sheetView workbookViewId="0">
      <selection activeCell="E12" sqref="E12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0" bestFit="1" customWidth="1"/>
    <col min="4" max="4" width="12.140625" bestFit="1" customWidth="1"/>
    <col min="5" max="5" width="11.28515625" bestFit="1" customWidth="1"/>
  </cols>
  <sheetData>
    <row r="3" spans="1:5" x14ac:dyDescent="0.25">
      <c r="A3" s="2" t="s">
        <v>1456</v>
      </c>
      <c r="B3" s="2" t="s">
        <v>1467</v>
      </c>
    </row>
    <row r="4" spans="1:5" x14ac:dyDescent="0.25">
      <c r="A4" s="2" t="s">
        <v>1457</v>
      </c>
      <c r="B4" t="s">
        <v>1468</v>
      </c>
      <c r="C4" t="s">
        <v>1469</v>
      </c>
      <c r="D4" t="s">
        <v>1470</v>
      </c>
      <c r="E4" t="s">
        <v>1458</v>
      </c>
    </row>
    <row r="5" spans="1:5" x14ac:dyDescent="0.25">
      <c r="A5" s="3" t="s">
        <v>1463</v>
      </c>
      <c r="B5" s="1">
        <v>219399.00000000003</v>
      </c>
      <c r="C5" s="1">
        <v>194510.34000000003</v>
      </c>
      <c r="D5" s="1">
        <v>207780.94999999998</v>
      </c>
      <c r="E5" s="1">
        <v>621690.29</v>
      </c>
    </row>
    <row r="6" spans="1:5" x14ac:dyDescent="0.25">
      <c r="A6" s="3" t="s">
        <v>1464</v>
      </c>
      <c r="B6" s="1">
        <v>167297.08000000005</v>
      </c>
      <c r="C6" s="1">
        <v>136412.68000000002</v>
      </c>
      <c r="D6" s="1">
        <v>262074.28</v>
      </c>
      <c r="E6" s="1">
        <v>565784.04</v>
      </c>
    </row>
    <row r="7" spans="1:5" x14ac:dyDescent="0.25">
      <c r="A7" s="3" t="s">
        <v>1465</v>
      </c>
      <c r="B7" s="1">
        <v>243515.40000000014</v>
      </c>
      <c r="C7" s="1">
        <v>137247.09999999995</v>
      </c>
      <c r="D7" s="1">
        <v>389312.9499999999</v>
      </c>
      <c r="E7" s="1">
        <v>770075.45</v>
      </c>
    </row>
    <row r="8" spans="1:5" x14ac:dyDescent="0.25">
      <c r="A8" s="3" t="s">
        <v>1466</v>
      </c>
      <c r="B8" s="1">
        <v>207678.85000000006</v>
      </c>
      <c r="C8" s="1">
        <v>113151.77999999994</v>
      </c>
      <c r="D8" s="1">
        <v>199237.34999999998</v>
      </c>
      <c r="E8" s="1">
        <v>520067.98</v>
      </c>
    </row>
    <row r="9" spans="1:5" x14ac:dyDescent="0.25">
      <c r="A9" s="3" t="s">
        <v>1458</v>
      </c>
      <c r="B9" s="1">
        <v>837890.33000000031</v>
      </c>
      <c r="C9" s="1">
        <v>581321.89999999991</v>
      </c>
      <c r="D9" s="1">
        <v>1058405.5299999998</v>
      </c>
      <c r="E9" s="1">
        <v>2477617.7599999998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H13" sqref="H13"/>
    </sheetView>
  </sheetViews>
  <sheetFormatPr defaultRowHeight="15" x14ac:dyDescent="0.25"/>
  <cols>
    <col min="1" max="1" width="13" customWidth="1"/>
    <col min="2" max="2" width="16.140625" customWidth="1"/>
    <col min="3" max="3" width="14.5703125" customWidth="1"/>
    <col min="4" max="4" width="23" customWidth="1"/>
    <col min="5" max="5" width="16.140625" customWidth="1"/>
    <col min="6" max="6" width="10.85546875" customWidth="1"/>
    <col min="8" max="8" width="10.85546875" customWidth="1"/>
    <col min="9" max="9" width="9.7109375" customWidth="1"/>
    <col min="10" max="10" width="11" customWidth="1"/>
    <col min="11" max="11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1461</v>
      </c>
      <c r="J1" t="s">
        <v>1462</v>
      </c>
      <c r="K1" t="s">
        <v>1472</v>
      </c>
      <c r="M1" s="5" t="s">
        <v>1473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>
        <v>388.48</v>
      </c>
      <c r="F2">
        <v>2</v>
      </c>
      <c r="G2">
        <v>27.28</v>
      </c>
      <c r="H2">
        <v>0.2</v>
      </c>
      <c r="I2" t="str">
        <f>VLOOKUP(C2,[1]Sheet!$A:$D,3,FALSE)</f>
        <v>North</v>
      </c>
      <c r="J2" t="str">
        <f>VLOOKUP(C2,[1]Sheet!$A:$D,4,FALSE)</f>
        <v>Consumer</v>
      </c>
      <c r="K2">
        <f>G2/E2</f>
        <v>7.0222405271828658E-2</v>
      </c>
      <c r="M2">
        <f>SUM(E2:E1001)/COUNTA(A2:A1001)</f>
        <v>2477.617760000001</v>
      </c>
    </row>
    <row r="3" spans="1:13" x14ac:dyDescent="0.25">
      <c r="A3" t="s">
        <v>12</v>
      </c>
      <c r="B3" t="s">
        <v>13</v>
      </c>
      <c r="C3" t="s">
        <v>14</v>
      </c>
      <c r="D3" t="s">
        <v>15</v>
      </c>
      <c r="E3">
        <v>1464.54</v>
      </c>
      <c r="F3">
        <v>10</v>
      </c>
      <c r="G3">
        <v>286.5</v>
      </c>
      <c r="H3">
        <v>0.2</v>
      </c>
      <c r="I3" t="str">
        <f>VLOOKUP(C3,[1]Sheet!$A:$D,3,FALSE)</f>
        <v>North</v>
      </c>
      <c r="J3" t="str">
        <f>VLOOKUP(C3,[1]Sheet!$A:$D,4,FALSE)</f>
        <v>Corporate</v>
      </c>
      <c r="K3">
        <f t="shared" ref="K3:K66" si="0">G3/E3</f>
        <v>0.19562456470973821</v>
      </c>
    </row>
    <row r="4" spans="1:13" x14ac:dyDescent="0.25">
      <c r="A4" t="s">
        <v>16</v>
      </c>
      <c r="B4" t="s">
        <v>17</v>
      </c>
      <c r="C4" t="s">
        <v>18</v>
      </c>
      <c r="D4" t="s">
        <v>15</v>
      </c>
      <c r="E4">
        <v>1290.69</v>
      </c>
      <c r="F4">
        <v>2</v>
      </c>
      <c r="G4">
        <v>247.67</v>
      </c>
      <c r="H4">
        <v>0</v>
      </c>
      <c r="I4" t="str">
        <f>VLOOKUP(C4,[1]Sheet!$A:$D,3,FALSE)</f>
        <v>West</v>
      </c>
      <c r="J4" t="str">
        <f>VLOOKUP(C4,[1]Sheet!$A:$D,4,FALSE)</f>
        <v>Home Office</v>
      </c>
      <c r="K4">
        <f t="shared" si="0"/>
        <v>0.19188960943371372</v>
      </c>
    </row>
    <row r="5" spans="1:13" x14ac:dyDescent="0.25">
      <c r="A5" t="s">
        <v>19</v>
      </c>
      <c r="B5" t="s">
        <v>20</v>
      </c>
      <c r="C5" t="s">
        <v>21</v>
      </c>
      <c r="D5" t="s">
        <v>22</v>
      </c>
      <c r="E5">
        <v>2212.15</v>
      </c>
      <c r="F5">
        <v>1</v>
      </c>
      <c r="G5">
        <v>391.71</v>
      </c>
      <c r="H5">
        <v>0</v>
      </c>
      <c r="I5" t="str">
        <f>VLOOKUP(C5,[1]Sheet!$A:$D,3,FALSE)</f>
        <v>North</v>
      </c>
      <c r="J5" t="str">
        <f>VLOOKUP(C5,[1]Sheet!$A:$D,4,FALSE)</f>
        <v>Consumer</v>
      </c>
      <c r="K5">
        <f t="shared" si="0"/>
        <v>0.17707207919896931</v>
      </c>
    </row>
    <row r="6" spans="1:13" x14ac:dyDescent="0.25">
      <c r="A6" t="s">
        <v>23</v>
      </c>
      <c r="B6" t="s">
        <v>24</v>
      </c>
      <c r="C6" t="s">
        <v>25</v>
      </c>
      <c r="D6" t="s">
        <v>15</v>
      </c>
      <c r="E6">
        <v>2072.84</v>
      </c>
      <c r="F6">
        <v>4</v>
      </c>
      <c r="G6">
        <v>314.64</v>
      </c>
      <c r="H6">
        <v>0.05</v>
      </c>
      <c r="I6" t="str">
        <f>VLOOKUP(C6,[1]Sheet!$A:$D,3,FALSE)</f>
        <v>South</v>
      </c>
      <c r="J6" t="str">
        <f>VLOOKUP(C6,[1]Sheet!$A:$D,4,FALSE)</f>
        <v>Consumer</v>
      </c>
      <c r="K6">
        <f t="shared" si="0"/>
        <v>0.15179174465950096</v>
      </c>
    </row>
    <row r="7" spans="1:13" x14ac:dyDescent="0.25">
      <c r="A7" t="s">
        <v>26</v>
      </c>
      <c r="B7" t="s">
        <v>27</v>
      </c>
      <c r="C7" t="s">
        <v>28</v>
      </c>
      <c r="D7" t="s">
        <v>11</v>
      </c>
      <c r="E7">
        <v>2298.21</v>
      </c>
      <c r="F7">
        <v>4</v>
      </c>
      <c r="G7">
        <v>405.78</v>
      </c>
      <c r="H7">
        <v>0</v>
      </c>
      <c r="I7" t="str">
        <f>VLOOKUP(C7,[1]Sheet!$A:$D,3,FALSE)</f>
        <v>East</v>
      </c>
      <c r="J7" t="str">
        <f>VLOOKUP(C7,[1]Sheet!$A:$D,4,FALSE)</f>
        <v>Consumer</v>
      </c>
      <c r="K7">
        <f t="shared" si="0"/>
        <v>0.17656349941911312</v>
      </c>
    </row>
    <row r="8" spans="1:13" x14ac:dyDescent="0.25">
      <c r="A8" t="s">
        <v>29</v>
      </c>
      <c r="B8" t="s">
        <v>30</v>
      </c>
      <c r="C8" t="s">
        <v>31</v>
      </c>
      <c r="D8" t="s">
        <v>15</v>
      </c>
      <c r="E8">
        <v>4059.31</v>
      </c>
      <c r="F8">
        <v>9</v>
      </c>
      <c r="G8">
        <v>1245.3599999999999</v>
      </c>
      <c r="H8">
        <v>0</v>
      </c>
      <c r="I8" t="str">
        <f>VLOOKUP(C8,[1]Sheet!$A:$D,3,FALSE)</f>
        <v>West</v>
      </c>
      <c r="J8" t="str">
        <f>VLOOKUP(C8,[1]Sheet!$A:$D,4,FALSE)</f>
        <v>Consumer</v>
      </c>
      <c r="K8">
        <f t="shared" si="0"/>
        <v>0.30679105562275361</v>
      </c>
    </row>
    <row r="9" spans="1:13" x14ac:dyDescent="0.25">
      <c r="A9" t="s">
        <v>32</v>
      </c>
      <c r="B9" t="s">
        <v>33</v>
      </c>
      <c r="C9" t="s">
        <v>34</v>
      </c>
      <c r="D9" t="s">
        <v>11</v>
      </c>
      <c r="E9">
        <v>4639.2</v>
      </c>
      <c r="F9">
        <v>8</v>
      </c>
      <c r="G9">
        <v>1413.14</v>
      </c>
      <c r="H9">
        <v>0.15</v>
      </c>
      <c r="I9" t="str">
        <f>VLOOKUP(C9,[1]Sheet!$A:$D,3,FALSE)</f>
        <v>West</v>
      </c>
      <c r="J9" t="str">
        <f>VLOOKUP(C9,[1]Sheet!$A:$D,4,FALSE)</f>
        <v>Home Office</v>
      </c>
      <c r="K9">
        <f t="shared" si="0"/>
        <v>0.3046085531988274</v>
      </c>
    </row>
    <row r="10" spans="1:13" x14ac:dyDescent="0.25">
      <c r="A10" t="s">
        <v>35</v>
      </c>
      <c r="B10" t="s">
        <v>36</v>
      </c>
      <c r="C10" t="s">
        <v>37</v>
      </c>
      <c r="D10" t="s">
        <v>11</v>
      </c>
      <c r="E10">
        <v>4336.79</v>
      </c>
      <c r="F10">
        <v>1</v>
      </c>
      <c r="G10">
        <v>1390.95</v>
      </c>
      <c r="H10">
        <v>0.15</v>
      </c>
      <c r="I10" t="str">
        <f>VLOOKUP(C10,[1]Sheet!$A:$D,3,FALSE)</f>
        <v>North</v>
      </c>
      <c r="J10" t="str">
        <f>VLOOKUP(C10,[1]Sheet!$A:$D,4,FALSE)</f>
        <v>Consumer</v>
      </c>
      <c r="K10">
        <f t="shared" si="0"/>
        <v>0.32073261559817284</v>
      </c>
    </row>
    <row r="11" spans="1:13" x14ac:dyDescent="0.25">
      <c r="A11" t="s">
        <v>38</v>
      </c>
      <c r="B11" t="s">
        <v>39</v>
      </c>
      <c r="C11" t="s">
        <v>40</v>
      </c>
      <c r="D11" t="s">
        <v>11</v>
      </c>
      <c r="E11">
        <v>4639.9399999999996</v>
      </c>
      <c r="F11">
        <v>9</v>
      </c>
      <c r="G11">
        <v>1324.88</v>
      </c>
      <c r="H11">
        <v>0.15</v>
      </c>
      <c r="I11" t="str">
        <f>VLOOKUP(C11,[1]Sheet!$A:$D,3,FALSE)</f>
        <v>East</v>
      </c>
      <c r="J11" t="str">
        <f>VLOOKUP(C11,[1]Sheet!$A:$D,4,FALSE)</f>
        <v>Corporate</v>
      </c>
      <c r="K11">
        <f t="shared" si="0"/>
        <v>0.28553817506260859</v>
      </c>
    </row>
    <row r="12" spans="1:13" x14ac:dyDescent="0.25">
      <c r="A12" t="s">
        <v>41</v>
      </c>
      <c r="B12" t="s">
        <v>42</v>
      </c>
      <c r="C12" t="s">
        <v>43</v>
      </c>
      <c r="D12" t="s">
        <v>22</v>
      </c>
      <c r="E12">
        <v>1030.5</v>
      </c>
      <c r="F12">
        <v>9</v>
      </c>
      <c r="G12">
        <v>118.83</v>
      </c>
      <c r="H12">
        <v>0</v>
      </c>
      <c r="I12" t="str">
        <f>VLOOKUP(C12,[1]Sheet!$A:$D,3,FALSE)</f>
        <v>East</v>
      </c>
      <c r="J12" t="str">
        <f>VLOOKUP(C12,[1]Sheet!$A:$D,4,FALSE)</f>
        <v>Corporate</v>
      </c>
      <c r="K12">
        <f t="shared" si="0"/>
        <v>0.11531295487627365</v>
      </c>
    </row>
    <row r="13" spans="1:13" x14ac:dyDescent="0.25">
      <c r="A13" t="s">
        <v>44</v>
      </c>
      <c r="B13" t="s">
        <v>45</v>
      </c>
      <c r="C13" t="s">
        <v>46</v>
      </c>
      <c r="D13" t="s">
        <v>22</v>
      </c>
      <c r="E13">
        <v>1636.66</v>
      </c>
      <c r="F13">
        <v>9</v>
      </c>
      <c r="G13">
        <v>106.45</v>
      </c>
      <c r="H13">
        <v>0.05</v>
      </c>
      <c r="I13" t="str">
        <f>VLOOKUP(C13,[1]Sheet!$A:$D,3,FALSE)</f>
        <v>North</v>
      </c>
      <c r="J13" t="str">
        <f>VLOOKUP(C13,[1]Sheet!$A:$D,4,FALSE)</f>
        <v>Corporate</v>
      </c>
      <c r="K13">
        <f t="shared" si="0"/>
        <v>6.5040998130338618E-2</v>
      </c>
    </row>
    <row r="14" spans="1:13" x14ac:dyDescent="0.25">
      <c r="A14" t="s">
        <v>47</v>
      </c>
      <c r="B14" t="s">
        <v>48</v>
      </c>
      <c r="C14" t="s">
        <v>25</v>
      </c>
      <c r="D14" t="s">
        <v>15</v>
      </c>
      <c r="E14">
        <v>4807.82</v>
      </c>
      <c r="F14">
        <v>10</v>
      </c>
      <c r="G14">
        <v>355.94</v>
      </c>
      <c r="H14">
        <v>0</v>
      </c>
      <c r="I14" t="str">
        <f>VLOOKUP(C14,[1]Sheet!$A:$D,3,FALSE)</f>
        <v>South</v>
      </c>
      <c r="J14" t="str">
        <f>VLOOKUP(C14,[1]Sheet!$A:$D,4,FALSE)</f>
        <v>Consumer</v>
      </c>
      <c r="K14">
        <f t="shared" si="0"/>
        <v>7.4033553668814561E-2</v>
      </c>
    </row>
    <row r="15" spans="1:13" x14ac:dyDescent="0.25">
      <c r="A15" t="s">
        <v>49</v>
      </c>
      <c r="B15" t="s">
        <v>50</v>
      </c>
      <c r="C15" t="s">
        <v>51</v>
      </c>
      <c r="D15" t="s">
        <v>15</v>
      </c>
      <c r="E15">
        <v>4322.91</v>
      </c>
      <c r="F15">
        <v>10</v>
      </c>
      <c r="G15">
        <v>739.79</v>
      </c>
      <c r="H15">
        <v>0.2</v>
      </c>
      <c r="I15" t="str">
        <f>VLOOKUP(C15,[1]Sheet!$A:$D,3,FALSE)</f>
        <v>South</v>
      </c>
      <c r="J15" t="str">
        <f>VLOOKUP(C15,[1]Sheet!$A:$D,4,FALSE)</f>
        <v>Consumer</v>
      </c>
      <c r="K15">
        <f t="shared" si="0"/>
        <v>0.17113240849335284</v>
      </c>
    </row>
    <row r="16" spans="1:13" x14ac:dyDescent="0.25">
      <c r="A16" t="s">
        <v>52</v>
      </c>
      <c r="B16" t="s">
        <v>53</v>
      </c>
      <c r="C16" t="s">
        <v>54</v>
      </c>
      <c r="D16" t="s">
        <v>22</v>
      </c>
      <c r="E16">
        <v>3134.97</v>
      </c>
      <c r="F16">
        <v>9</v>
      </c>
      <c r="G16">
        <v>551.03</v>
      </c>
      <c r="H16">
        <v>0.1</v>
      </c>
      <c r="I16" t="str">
        <f>VLOOKUP(C16,[1]Sheet!$A:$D,3,FALSE)</f>
        <v>West</v>
      </c>
      <c r="J16" t="str">
        <f>VLOOKUP(C16,[1]Sheet!$A:$D,4,FALSE)</f>
        <v>Consumer</v>
      </c>
      <c r="K16">
        <f t="shared" si="0"/>
        <v>0.17576882713391198</v>
      </c>
    </row>
    <row r="17" spans="1:11" x14ac:dyDescent="0.25">
      <c r="A17" t="s">
        <v>55</v>
      </c>
      <c r="B17" t="s">
        <v>56</v>
      </c>
      <c r="C17" t="s">
        <v>40</v>
      </c>
      <c r="D17" t="s">
        <v>11</v>
      </c>
      <c r="E17">
        <v>1100.8699999999999</v>
      </c>
      <c r="F17">
        <v>7</v>
      </c>
      <c r="G17">
        <v>291.57</v>
      </c>
      <c r="H17">
        <v>0.05</v>
      </c>
      <c r="I17" t="str">
        <f>VLOOKUP(C17,[1]Sheet!$A:$D,3,FALSE)</f>
        <v>East</v>
      </c>
      <c r="J17" t="str">
        <f>VLOOKUP(C17,[1]Sheet!$A:$D,4,FALSE)</f>
        <v>Corporate</v>
      </c>
      <c r="K17">
        <f t="shared" si="0"/>
        <v>0.2648541608000945</v>
      </c>
    </row>
    <row r="18" spans="1:11" x14ac:dyDescent="0.25">
      <c r="A18" t="s">
        <v>57</v>
      </c>
      <c r="B18" t="s">
        <v>58</v>
      </c>
      <c r="C18" t="s">
        <v>59</v>
      </c>
      <c r="D18" t="s">
        <v>15</v>
      </c>
      <c r="E18">
        <v>3262.95</v>
      </c>
      <c r="F18">
        <v>8</v>
      </c>
      <c r="G18">
        <v>610.72</v>
      </c>
      <c r="H18">
        <v>0.2</v>
      </c>
      <c r="I18" t="str">
        <f>VLOOKUP(C18,[1]Sheet!$A:$D,3,FALSE)</f>
        <v>West</v>
      </c>
      <c r="J18" t="str">
        <f>VLOOKUP(C18,[1]Sheet!$A:$D,4,FALSE)</f>
        <v>Consumer</v>
      </c>
      <c r="K18">
        <f t="shared" si="0"/>
        <v>0.18716805344856649</v>
      </c>
    </row>
    <row r="19" spans="1:11" x14ac:dyDescent="0.25">
      <c r="A19" t="s">
        <v>60</v>
      </c>
      <c r="B19" t="s">
        <v>61</v>
      </c>
      <c r="C19" t="s">
        <v>62</v>
      </c>
      <c r="D19" t="s">
        <v>22</v>
      </c>
      <c r="E19">
        <v>4980.87</v>
      </c>
      <c r="F19">
        <v>5</v>
      </c>
      <c r="G19">
        <v>358.51</v>
      </c>
      <c r="H19">
        <v>0.05</v>
      </c>
      <c r="I19" t="str">
        <f>VLOOKUP(C19,[1]Sheet!$A:$D,3,FALSE)</f>
        <v>East</v>
      </c>
      <c r="J19" t="str">
        <f>VLOOKUP(C19,[1]Sheet!$A:$D,4,FALSE)</f>
        <v>Home Office</v>
      </c>
      <c r="K19">
        <f t="shared" si="0"/>
        <v>7.1977385476834368E-2</v>
      </c>
    </row>
    <row r="20" spans="1:11" x14ac:dyDescent="0.25">
      <c r="A20" t="s">
        <v>63</v>
      </c>
      <c r="B20" t="s">
        <v>64</v>
      </c>
      <c r="C20" t="s">
        <v>65</v>
      </c>
      <c r="D20" t="s">
        <v>11</v>
      </c>
      <c r="E20">
        <v>4416.2299999999996</v>
      </c>
      <c r="F20">
        <v>3</v>
      </c>
      <c r="G20">
        <v>1385.73</v>
      </c>
      <c r="H20">
        <v>0.15</v>
      </c>
      <c r="I20" t="str">
        <f>VLOOKUP(C20,[1]Sheet!$A:$D,3,FALSE)</f>
        <v>East</v>
      </c>
      <c r="J20" t="str">
        <f>VLOOKUP(C20,[1]Sheet!$A:$D,4,FALSE)</f>
        <v>Corporate</v>
      </c>
      <c r="K20">
        <f t="shared" si="0"/>
        <v>0.31378121157638983</v>
      </c>
    </row>
    <row r="21" spans="1:11" x14ac:dyDescent="0.25">
      <c r="A21" t="s">
        <v>66</v>
      </c>
      <c r="B21" t="s">
        <v>67</v>
      </c>
      <c r="C21" t="s">
        <v>68</v>
      </c>
      <c r="D21" t="s">
        <v>22</v>
      </c>
      <c r="E21">
        <v>3547.35</v>
      </c>
      <c r="F21">
        <v>1</v>
      </c>
      <c r="G21">
        <v>828.32</v>
      </c>
      <c r="H21">
        <v>0.2</v>
      </c>
      <c r="I21" t="str">
        <f>VLOOKUP(C21,[1]Sheet!$A:$D,3,FALSE)</f>
        <v>East</v>
      </c>
      <c r="J21" t="str">
        <f>VLOOKUP(C21,[1]Sheet!$A:$D,4,FALSE)</f>
        <v>Corporate</v>
      </c>
      <c r="K21">
        <f t="shared" si="0"/>
        <v>0.2335038831804023</v>
      </c>
    </row>
    <row r="22" spans="1:11" x14ac:dyDescent="0.25">
      <c r="A22" t="s">
        <v>69</v>
      </c>
      <c r="B22" t="s">
        <v>70</v>
      </c>
      <c r="C22" t="s">
        <v>71</v>
      </c>
      <c r="D22" t="s">
        <v>11</v>
      </c>
      <c r="E22">
        <v>4665.6000000000004</v>
      </c>
      <c r="F22">
        <v>2</v>
      </c>
      <c r="G22">
        <v>378.27</v>
      </c>
      <c r="H22">
        <v>0</v>
      </c>
      <c r="I22" t="str">
        <f>VLOOKUP(C22,[1]Sheet!$A:$D,3,FALSE)</f>
        <v>South</v>
      </c>
      <c r="J22" t="str">
        <f>VLOOKUP(C22,[1]Sheet!$A:$D,4,FALSE)</f>
        <v>Consumer</v>
      </c>
      <c r="K22">
        <f t="shared" si="0"/>
        <v>8.1076388888888878E-2</v>
      </c>
    </row>
    <row r="23" spans="1:11" x14ac:dyDescent="0.25">
      <c r="A23" t="s">
        <v>72</v>
      </c>
      <c r="B23" t="s">
        <v>73</v>
      </c>
      <c r="C23" t="s">
        <v>46</v>
      </c>
      <c r="D23" t="s">
        <v>15</v>
      </c>
      <c r="E23">
        <v>2810.8</v>
      </c>
      <c r="F23">
        <v>6</v>
      </c>
      <c r="G23">
        <v>370.19</v>
      </c>
      <c r="H23">
        <v>0.05</v>
      </c>
      <c r="I23" t="str">
        <f>VLOOKUP(C23,[1]Sheet!$A:$D,3,FALSE)</f>
        <v>North</v>
      </c>
      <c r="J23" t="str">
        <f>VLOOKUP(C23,[1]Sheet!$A:$D,4,FALSE)</f>
        <v>Corporate</v>
      </c>
      <c r="K23">
        <f t="shared" si="0"/>
        <v>0.13170271808737724</v>
      </c>
    </row>
    <row r="24" spans="1:11" x14ac:dyDescent="0.25">
      <c r="A24" t="s">
        <v>74</v>
      </c>
      <c r="B24" t="s">
        <v>75</v>
      </c>
      <c r="C24" t="s">
        <v>76</v>
      </c>
      <c r="D24" t="s">
        <v>11</v>
      </c>
      <c r="E24">
        <v>3207.77</v>
      </c>
      <c r="F24">
        <v>1</v>
      </c>
      <c r="G24">
        <v>414.43</v>
      </c>
      <c r="H24">
        <v>0</v>
      </c>
      <c r="I24" t="str">
        <f>VLOOKUP(C24,[1]Sheet!$A:$D,3,FALSE)</f>
        <v>West</v>
      </c>
      <c r="J24" t="str">
        <f>VLOOKUP(C24,[1]Sheet!$A:$D,4,FALSE)</f>
        <v>Home Office</v>
      </c>
      <c r="K24">
        <f t="shared" si="0"/>
        <v>0.12919567175950894</v>
      </c>
    </row>
    <row r="25" spans="1:11" x14ac:dyDescent="0.25">
      <c r="A25" t="s">
        <v>77</v>
      </c>
      <c r="B25" t="s">
        <v>78</v>
      </c>
      <c r="C25" t="s">
        <v>79</v>
      </c>
      <c r="D25" t="s">
        <v>11</v>
      </c>
      <c r="E25">
        <v>2175.52</v>
      </c>
      <c r="F25">
        <v>3</v>
      </c>
      <c r="G25">
        <v>289.35000000000002</v>
      </c>
      <c r="H25">
        <v>0.1</v>
      </c>
      <c r="I25" t="str">
        <f>VLOOKUP(C25,[1]Sheet!$A:$D,3,FALSE)</f>
        <v>East</v>
      </c>
      <c r="J25" t="str">
        <f>VLOOKUP(C25,[1]Sheet!$A:$D,4,FALSE)</f>
        <v>Corporate</v>
      </c>
      <c r="K25">
        <f t="shared" si="0"/>
        <v>0.13300268441567994</v>
      </c>
    </row>
    <row r="26" spans="1:11" x14ac:dyDescent="0.25">
      <c r="A26" t="s">
        <v>80</v>
      </c>
      <c r="B26" t="s">
        <v>81</v>
      </c>
      <c r="C26" t="s">
        <v>82</v>
      </c>
      <c r="D26" t="s">
        <v>22</v>
      </c>
      <c r="E26">
        <v>3732.03</v>
      </c>
      <c r="F26">
        <v>1</v>
      </c>
      <c r="G26">
        <v>804.27</v>
      </c>
      <c r="H26">
        <v>0</v>
      </c>
      <c r="I26" t="str">
        <f>VLOOKUP(C26,[1]Sheet!$A:$D,3,FALSE)</f>
        <v>East</v>
      </c>
      <c r="J26" t="str">
        <f>VLOOKUP(C26,[1]Sheet!$A:$D,4,FALSE)</f>
        <v>Consumer</v>
      </c>
      <c r="K26">
        <f t="shared" si="0"/>
        <v>0.21550469851528523</v>
      </c>
    </row>
    <row r="27" spans="1:11" x14ac:dyDescent="0.25">
      <c r="A27" t="s">
        <v>83</v>
      </c>
      <c r="B27" t="s">
        <v>84</v>
      </c>
      <c r="C27" t="s">
        <v>85</v>
      </c>
      <c r="D27" t="s">
        <v>22</v>
      </c>
      <c r="E27">
        <v>4730.75</v>
      </c>
      <c r="F27">
        <v>1</v>
      </c>
      <c r="G27">
        <v>1217.25</v>
      </c>
      <c r="H27">
        <v>0.1</v>
      </c>
      <c r="I27" t="str">
        <f>VLOOKUP(C27,[1]Sheet!$A:$D,3,FALSE)</f>
        <v>South</v>
      </c>
      <c r="J27" t="str">
        <f>VLOOKUP(C27,[1]Sheet!$A:$D,4,FALSE)</f>
        <v>Home Office</v>
      </c>
      <c r="K27">
        <f t="shared" si="0"/>
        <v>0.25730592400782115</v>
      </c>
    </row>
    <row r="28" spans="1:11" x14ac:dyDescent="0.25">
      <c r="A28" t="s">
        <v>86</v>
      </c>
      <c r="B28" t="s">
        <v>87</v>
      </c>
      <c r="C28" t="s">
        <v>88</v>
      </c>
      <c r="D28" t="s">
        <v>11</v>
      </c>
      <c r="E28">
        <v>2807.37</v>
      </c>
      <c r="F28">
        <v>6</v>
      </c>
      <c r="G28">
        <v>502.34</v>
      </c>
      <c r="H28">
        <v>0</v>
      </c>
      <c r="I28" t="str">
        <f>VLOOKUP(C28,[1]Sheet!$A:$D,3,FALSE)</f>
        <v>North</v>
      </c>
      <c r="J28" t="str">
        <f>VLOOKUP(C28,[1]Sheet!$A:$D,4,FALSE)</f>
        <v>Home Office</v>
      </c>
      <c r="K28">
        <f t="shared" si="0"/>
        <v>0.1789361573287454</v>
      </c>
    </row>
    <row r="29" spans="1:11" x14ac:dyDescent="0.25">
      <c r="A29" t="s">
        <v>89</v>
      </c>
      <c r="B29" t="s">
        <v>90</v>
      </c>
      <c r="C29" t="s">
        <v>91</v>
      </c>
      <c r="D29" t="s">
        <v>11</v>
      </c>
      <c r="E29">
        <v>1129.3800000000001</v>
      </c>
      <c r="F29">
        <v>9</v>
      </c>
      <c r="G29">
        <v>141.01</v>
      </c>
      <c r="H29">
        <v>0.15</v>
      </c>
      <c r="I29" t="str">
        <f>VLOOKUP(C29,[1]Sheet!$A:$D,3,FALSE)</f>
        <v>East</v>
      </c>
      <c r="J29" t="str">
        <f>VLOOKUP(C29,[1]Sheet!$A:$D,4,FALSE)</f>
        <v>Consumer</v>
      </c>
      <c r="K29">
        <f t="shared" si="0"/>
        <v>0.12485611574492197</v>
      </c>
    </row>
    <row r="30" spans="1:11" x14ac:dyDescent="0.25">
      <c r="A30" t="s">
        <v>92</v>
      </c>
      <c r="B30" t="s">
        <v>93</v>
      </c>
      <c r="C30" t="s">
        <v>94</v>
      </c>
      <c r="D30" t="s">
        <v>15</v>
      </c>
      <c r="E30">
        <v>3772.44</v>
      </c>
      <c r="F30">
        <v>3</v>
      </c>
      <c r="G30">
        <v>1236.3399999999999</v>
      </c>
      <c r="H30">
        <v>0.15</v>
      </c>
      <c r="I30" t="str">
        <f>VLOOKUP(C30,[1]Sheet!$A:$D,3,FALSE)</f>
        <v>East</v>
      </c>
      <c r="J30" t="str">
        <f>VLOOKUP(C30,[1]Sheet!$A:$D,4,FALSE)</f>
        <v>Corporate</v>
      </c>
      <c r="K30">
        <f t="shared" si="0"/>
        <v>0.32772953314035475</v>
      </c>
    </row>
    <row r="31" spans="1:11" x14ac:dyDescent="0.25">
      <c r="A31" t="s">
        <v>95</v>
      </c>
      <c r="B31" t="s">
        <v>96</v>
      </c>
      <c r="C31" t="s">
        <v>97</v>
      </c>
      <c r="D31" t="s">
        <v>22</v>
      </c>
      <c r="E31">
        <v>978.87</v>
      </c>
      <c r="F31">
        <v>4</v>
      </c>
      <c r="G31">
        <v>320.43</v>
      </c>
      <c r="H31">
        <v>0.1</v>
      </c>
      <c r="I31" t="str">
        <f>VLOOKUP(C31,[1]Sheet!$A:$D,3,FALSE)</f>
        <v>North</v>
      </c>
      <c r="J31" t="str">
        <f>VLOOKUP(C31,[1]Sheet!$A:$D,4,FALSE)</f>
        <v>Home Office</v>
      </c>
      <c r="K31">
        <f t="shared" si="0"/>
        <v>0.32734683870176839</v>
      </c>
    </row>
    <row r="32" spans="1:11" x14ac:dyDescent="0.25">
      <c r="A32" t="s">
        <v>98</v>
      </c>
      <c r="B32" t="s">
        <v>99</v>
      </c>
      <c r="C32" t="s">
        <v>82</v>
      </c>
      <c r="D32" t="s">
        <v>11</v>
      </c>
      <c r="E32">
        <v>3958.14</v>
      </c>
      <c r="F32">
        <v>4</v>
      </c>
      <c r="G32">
        <v>326.26</v>
      </c>
      <c r="H32">
        <v>0.05</v>
      </c>
      <c r="I32" t="str">
        <f>VLOOKUP(C32,[1]Sheet!$A:$D,3,FALSE)</f>
        <v>East</v>
      </c>
      <c r="J32" t="str">
        <f>VLOOKUP(C32,[1]Sheet!$A:$D,4,FALSE)</f>
        <v>Consumer</v>
      </c>
      <c r="K32">
        <f t="shared" si="0"/>
        <v>8.242760488512281E-2</v>
      </c>
    </row>
    <row r="33" spans="1:11" x14ac:dyDescent="0.25">
      <c r="A33" t="s">
        <v>100</v>
      </c>
      <c r="B33" t="s">
        <v>101</v>
      </c>
      <c r="C33" t="s">
        <v>102</v>
      </c>
      <c r="D33" t="s">
        <v>15</v>
      </c>
      <c r="E33">
        <v>1813.33</v>
      </c>
      <c r="F33">
        <v>1</v>
      </c>
      <c r="G33">
        <v>537.04</v>
      </c>
      <c r="H33">
        <v>0.05</v>
      </c>
      <c r="I33" t="str">
        <f>VLOOKUP(C33,[1]Sheet!$A:$D,3,FALSE)</f>
        <v>South</v>
      </c>
      <c r="J33" t="str">
        <f>VLOOKUP(C33,[1]Sheet!$A:$D,4,FALSE)</f>
        <v>Home Office</v>
      </c>
      <c r="K33">
        <f t="shared" si="0"/>
        <v>0.29616230912189179</v>
      </c>
    </row>
    <row r="34" spans="1:11" x14ac:dyDescent="0.25">
      <c r="A34" t="s">
        <v>103</v>
      </c>
      <c r="B34" t="s">
        <v>27</v>
      </c>
      <c r="C34" t="s">
        <v>104</v>
      </c>
      <c r="D34" t="s">
        <v>11</v>
      </c>
      <c r="E34">
        <v>1708.48</v>
      </c>
      <c r="F34">
        <v>9</v>
      </c>
      <c r="G34">
        <v>528.44000000000005</v>
      </c>
      <c r="H34">
        <v>0.15</v>
      </c>
      <c r="I34" t="str">
        <f>VLOOKUP(C34,[1]Sheet!$A:$D,3,FALSE)</f>
        <v>South</v>
      </c>
      <c r="J34" t="str">
        <f>VLOOKUP(C34,[1]Sheet!$A:$D,4,FALSE)</f>
        <v>Home Office</v>
      </c>
      <c r="K34">
        <f t="shared" si="0"/>
        <v>0.30930417681213712</v>
      </c>
    </row>
    <row r="35" spans="1:11" x14ac:dyDescent="0.25">
      <c r="A35" t="s">
        <v>105</v>
      </c>
      <c r="B35" t="s">
        <v>106</v>
      </c>
      <c r="C35" t="s">
        <v>51</v>
      </c>
      <c r="D35" t="s">
        <v>15</v>
      </c>
      <c r="E35">
        <v>4907.63</v>
      </c>
      <c r="F35">
        <v>5</v>
      </c>
      <c r="G35">
        <v>1034.8499999999999</v>
      </c>
      <c r="H35">
        <v>0.05</v>
      </c>
      <c r="I35" t="str">
        <f>VLOOKUP(C35,[1]Sheet!$A:$D,3,FALSE)</f>
        <v>South</v>
      </c>
      <c r="J35" t="str">
        <f>VLOOKUP(C35,[1]Sheet!$A:$D,4,FALSE)</f>
        <v>Consumer</v>
      </c>
      <c r="K35">
        <f t="shared" si="0"/>
        <v>0.21086552979747861</v>
      </c>
    </row>
    <row r="36" spans="1:11" x14ac:dyDescent="0.25">
      <c r="A36" t="s">
        <v>107</v>
      </c>
      <c r="B36" t="s">
        <v>24</v>
      </c>
      <c r="C36" t="s">
        <v>88</v>
      </c>
      <c r="D36" t="s">
        <v>22</v>
      </c>
      <c r="E36">
        <v>4816.42</v>
      </c>
      <c r="F36">
        <v>7</v>
      </c>
      <c r="G36">
        <v>624.4</v>
      </c>
      <c r="H36">
        <v>0.1</v>
      </c>
      <c r="I36" t="str">
        <f>VLOOKUP(C36,[1]Sheet!$A:$D,3,FALSE)</f>
        <v>North</v>
      </c>
      <c r="J36" t="str">
        <f>VLOOKUP(C36,[1]Sheet!$A:$D,4,FALSE)</f>
        <v>Home Office</v>
      </c>
      <c r="K36">
        <f t="shared" si="0"/>
        <v>0.12963985698921604</v>
      </c>
    </row>
    <row r="37" spans="1:11" x14ac:dyDescent="0.25">
      <c r="A37" t="s">
        <v>108</v>
      </c>
      <c r="B37" t="s">
        <v>109</v>
      </c>
      <c r="C37" t="s">
        <v>110</v>
      </c>
      <c r="D37" t="s">
        <v>15</v>
      </c>
      <c r="E37">
        <v>3953.5</v>
      </c>
      <c r="F37">
        <v>7</v>
      </c>
      <c r="G37">
        <v>715.26</v>
      </c>
      <c r="H37">
        <v>0.2</v>
      </c>
      <c r="I37" t="str">
        <f>VLOOKUP(C37,[1]Sheet!$A:$D,3,FALSE)</f>
        <v>West</v>
      </c>
      <c r="J37" t="str">
        <f>VLOOKUP(C37,[1]Sheet!$A:$D,4,FALSE)</f>
        <v>Consumer</v>
      </c>
      <c r="K37">
        <f t="shared" si="0"/>
        <v>0.18091817377007716</v>
      </c>
    </row>
    <row r="38" spans="1:11" x14ac:dyDescent="0.25">
      <c r="A38" t="s">
        <v>111</v>
      </c>
      <c r="B38" t="s">
        <v>112</v>
      </c>
      <c r="C38" t="s">
        <v>113</v>
      </c>
      <c r="D38" t="s">
        <v>22</v>
      </c>
      <c r="E38">
        <v>1348.14</v>
      </c>
      <c r="F38">
        <v>9</v>
      </c>
      <c r="G38">
        <v>354.07</v>
      </c>
      <c r="H38">
        <v>0.05</v>
      </c>
      <c r="I38" t="str">
        <f>VLOOKUP(C38,[1]Sheet!$A:$D,3,FALSE)</f>
        <v>East</v>
      </c>
      <c r="J38" t="str">
        <f>VLOOKUP(C38,[1]Sheet!$A:$D,4,FALSE)</f>
        <v>Home Office</v>
      </c>
      <c r="K38">
        <f t="shared" si="0"/>
        <v>0.26263592801934516</v>
      </c>
    </row>
    <row r="39" spans="1:11" x14ac:dyDescent="0.25">
      <c r="A39" t="s">
        <v>114</v>
      </c>
      <c r="B39" t="s">
        <v>115</v>
      </c>
      <c r="C39" t="s">
        <v>116</v>
      </c>
      <c r="D39" t="s">
        <v>22</v>
      </c>
      <c r="E39">
        <v>2213.36</v>
      </c>
      <c r="F39">
        <v>6</v>
      </c>
      <c r="G39">
        <v>740.73</v>
      </c>
      <c r="H39">
        <v>0</v>
      </c>
      <c r="I39" t="str">
        <f>VLOOKUP(C39,[1]Sheet!$A:$D,3,FALSE)</f>
        <v>South</v>
      </c>
      <c r="J39" t="str">
        <f>VLOOKUP(C39,[1]Sheet!$A:$D,4,FALSE)</f>
        <v>Home Office</v>
      </c>
      <c r="K39">
        <f t="shared" si="0"/>
        <v>0.33466313658871577</v>
      </c>
    </row>
    <row r="40" spans="1:11" x14ac:dyDescent="0.25">
      <c r="A40" t="s">
        <v>117</v>
      </c>
      <c r="B40" t="s">
        <v>118</v>
      </c>
      <c r="C40" t="s">
        <v>119</v>
      </c>
      <c r="D40" t="s">
        <v>11</v>
      </c>
      <c r="E40">
        <v>4510.2299999999996</v>
      </c>
      <c r="F40">
        <v>6</v>
      </c>
      <c r="G40">
        <v>911.68</v>
      </c>
      <c r="H40">
        <v>0.15</v>
      </c>
      <c r="I40" t="str">
        <f>VLOOKUP(C40,[1]Sheet!$A:$D,3,FALSE)</f>
        <v>East</v>
      </c>
      <c r="J40" t="str">
        <f>VLOOKUP(C40,[1]Sheet!$A:$D,4,FALSE)</f>
        <v>Corporate</v>
      </c>
      <c r="K40">
        <f t="shared" si="0"/>
        <v>0.20213603297392815</v>
      </c>
    </row>
    <row r="41" spans="1:11" x14ac:dyDescent="0.25">
      <c r="A41" t="s">
        <v>120</v>
      </c>
      <c r="B41" t="s">
        <v>121</v>
      </c>
      <c r="C41" t="s">
        <v>122</v>
      </c>
      <c r="D41" t="s">
        <v>22</v>
      </c>
      <c r="E41">
        <v>1548.71</v>
      </c>
      <c r="F41">
        <v>7</v>
      </c>
      <c r="G41">
        <v>136.58000000000001</v>
      </c>
      <c r="H41">
        <v>0.05</v>
      </c>
      <c r="I41" t="str">
        <f>VLOOKUP(C41,[1]Sheet!$A:$D,3,FALSE)</f>
        <v>West</v>
      </c>
      <c r="J41" t="str">
        <f>VLOOKUP(C41,[1]Sheet!$A:$D,4,FALSE)</f>
        <v>Consumer</v>
      </c>
      <c r="K41">
        <f t="shared" si="0"/>
        <v>8.818952547604135E-2</v>
      </c>
    </row>
    <row r="42" spans="1:11" x14ac:dyDescent="0.25">
      <c r="A42" t="s">
        <v>123</v>
      </c>
      <c r="B42" t="s">
        <v>112</v>
      </c>
      <c r="C42" t="s">
        <v>124</v>
      </c>
      <c r="D42" t="s">
        <v>11</v>
      </c>
      <c r="E42">
        <v>2888.62</v>
      </c>
      <c r="F42">
        <v>5</v>
      </c>
      <c r="G42">
        <v>496.33</v>
      </c>
      <c r="H42">
        <v>0.05</v>
      </c>
      <c r="I42" t="str">
        <f>VLOOKUP(C42,[1]Sheet!$A:$D,3,FALSE)</f>
        <v>North</v>
      </c>
      <c r="J42" t="str">
        <f>VLOOKUP(C42,[1]Sheet!$A:$D,4,FALSE)</f>
        <v>Home Office</v>
      </c>
      <c r="K42">
        <f t="shared" si="0"/>
        <v>0.17182253117405544</v>
      </c>
    </row>
    <row r="43" spans="1:11" x14ac:dyDescent="0.25">
      <c r="A43" t="s">
        <v>125</v>
      </c>
      <c r="B43" t="s">
        <v>126</v>
      </c>
      <c r="C43" t="s">
        <v>127</v>
      </c>
      <c r="D43" t="s">
        <v>11</v>
      </c>
      <c r="E43">
        <v>3950.22</v>
      </c>
      <c r="F43">
        <v>8</v>
      </c>
      <c r="G43">
        <v>916.45</v>
      </c>
      <c r="H43">
        <v>0.15</v>
      </c>
      <c r="I43" t="str">
        <f>VLOOKUP(C43,[1]Sheet!$A:$D,3,FALSE)</f>
        <v>South</v>
      </c>
      <c r="J43" t="str">
        <f>VLOOKUP(C43,[1]Sheet!$A:$D,4,FALSE)</f>
        <v>Consumer</v>
      </c>
      <c r="K43">
        <f t="shared" si="0"/>
        <v>0.23199973672352428</v>
      </c>
    </row>
    <row r="44" spans="1:11" x14ac:dyDescent="0.25">
      <c r="A44" t="s">
        <v>128</v>
      </c>
      <c r="B44" t="s">
        <v>129</v>
      </c>
      <c r="C44" t="s">
        <v>51</v>
      </c>
      <c r="D44" t="s">
        <v>22</v>
      </c>
      <c r="E44">
        <v>1147.1400000000001</v>
      </c>
      <c r="F44">
        <v>2</v>
      </c>
      <c r="G44">
        <v>220.2</v>
      </c>
      <c r="H44">
        <v>0.1</v>
      </c>
      <c r="I44" t="str">
        <f>VLOOKUP(C44,[1]Sheet!$A:$D,3,FALSE)</f>
        <v>South</v>
      </c>
      <c r="J44" t="str">
        <f>VLOOKUP(C44,[1]Sheet!$A:$D,4,FALSE)</f>
        <v>Consumer</v>
      </c>
      <c r="K44">
        <f t="shared" si="0"/>
        <v>0.19195564621580624</v>
      </c>
    </row>
    <row r="45" spans="1:11" x14ac:dyDescent="0.25">
      <c r="A45" t="s">
        <v>130</v>
      </c>
      <c r="B45" t="s">
        <v>131</v>
      </c>
      <c r="C45" t="s">
        <v>132</v>
      </c>
      <c r="D45" t="s">
        <v>15</v>
      </c>
      <c r="E45">
        <v>3352.88</v>
      </c>
      <c r="F45">
        <v>5</v>
      </c>
      <c r="G45">
        <v>790.54</v>
      </c>
      <c r="H45">
        <v>0.05</v>
      </c>
      <c r="I45" t="str">
        <f>VLOOKUP(C45,[1]Sheet!$A:$D,3,FALSE)</f>
        <v>North</v>
      </c>
      <c r="J45" t="str">
        <f>VLOOKUP(C45,[1]Sheet!$A:$D,4,FALSE)</f>
        <v>Home Office</v>
      </c>
      <c r="K45">
        <f t="shared" si="0"/>
        <v>0.23577938965903938</v>
      </c>
    </row>
    <row r="46" spans="1:11" x14ac:dyDescent="0.25">
      <c r="A46" t="s">
        <v>133</v>
      </c>
      <c r="B46" t="s">
        <v>134</v>
      </c>
      <c r="C46" t="s">
        <v>135</v>
      </c>
      <c r="D46" t="s">
        <v>22</v>
      </c>
      <c r="E46">
        <v>822.03</v>
      </c>
      <c r="F46">
        <v>2</v>
      </c>
      <c r="G46">
        <v>52.5</v>
      </c>
      <c r="H46">
        <v>0.15</v>
      </c>
      <c r="I46" t="str">
        <f>VLOOKUP(C46,[1]Sheet!$A:$D,3,FALSE)</f>
        <v>East</v>
      </c>
      <c r="J46" t="str">
        <f>VLOOKUP(C46,[1]Sheet!$A:$D,4,FALSE)</f>
        <v>Home Office</v>
      </c>
      <c r="K46">
        <f t="shared" si="0"/>
        <v>6.3866282252472539E-2</v>
      </c>
    </row>
    <row r="47" spans="1:11" x14ac:dyDescent="0.25">
      <c r="A47" t="s">
        <v>136</v>
      </c>
      <c r="B47" t="s">
        <v>137</v>
      </c>
      <c r="C47" t="s">
        <v>138</v>
      </c>
      <c r="D47" t="s">
        <v>11</v>
      </c>
      <c r="E47">
        <v>4442.07</v>
      </c>
      <c r="F47">
        <v>8</v>
      </c>
      <c r="G47">
        <v>989.25</v>
      </c>
      <c r="H47">
        <v>0.15</v>
      </c>
      <c r="I47" t="str">
        <f>VLOOKUP(C47,[1]Sheet!$A:$D,3,FALSE)</f>
        <v>West</v>
      </c>
      <c r="J47" t="str">
        <f>VLOOKUP(C47,[1]Sheet!$A:$D,4,FALSE)</f>
        <v>Home Office</v>
      </c>
      <c r="K47">
        <f t="shared" si="0"/>
        <v>0.2227002275965935</v>
      </c>
    </row>
    <row r="48" spans="1:11" x14ac:dyDescent="0.25">
      <c r="A48" t="s">
        <v>139</v>
      </c>
      <c r="B48" t="s">
        <v>140</v>
      </c>
      <c r="C48" t="s">
        <v>141</v>
      </c>
      <c r="D48" t="s">
        <v>11</v>
      </c>
      <c r="E48">
        <v>823.1</v>
      </c>
      <c r="F48">
        <v>4</v>
      </c>
      <c r="G48">
        <v>210.95</v>
      </c>
      <c r="H48">
        <v>0.05</v>
      </c>
      <c r="I48" t="str">
        <f>VLOOKUP(C48,[1]Sheet!$A:$D,3,FALSE)</f>
        <v>East</v>
      </c>
      <c r="J48" t="str">
        <f>VLOOKUP(C48,[1]Sheet!$A:$D,4,FALSE)</f>
        <v>Corporate</v>
      </c>
      <c r="K48">
        <f t="shared" si="0"/>
        <v>0.25628720690074108</v>
      </c>
    </row>
    <row r="49" spans="1:11" x14ac:dyDescent="0.25">
      <c r="A49" t="s">
        <v>142</v>
      </c>
      <c r="B49" t="s">
        <v>143</v>
      </c>
      <c r="C49" t="s">
        <v>122</v>
      </c>
      <c r="D49" t="s">
        <v>15</v>
      </c>
      <c r="E49">
        <v>2637.99</v>
      </c>
      <c r="F49">
        <v>8</v>
      </c>
      <c r="G49">
        <v>171.64</v>
      </c>
      <c r="H49">
        <v>0.05</v>
      </c>
      <c r="I49" t="str">
        <f>VLOOKUP(C49,[1]Sheet!$A:$D,3,FALSE)</f>
        <v>West</v>
      </c>
      <c r="J49" t="str">
        <f>VLOOKUP(C49,[1]Sheet!$A:$D,4,FALSE)</f>
        <v>Consumer</v>
      </c>
      <c r="K49">
        <f t="shared" si="0"/>
        <v>6.5064689403674769E-2</v>
      </c>
    </row>
    <row r="50" spans="1:11" x14ac:dyDescent="0.25">
      <c r="A50" t="s">
        <v>144</v>
      </c>
      <c r="B50" t="s">
        <v>145</v>
      </c>
      <c r="C50" t="s">
        <v>146</v>
      </c>
      <c r="D50" t="s">
        <v>11</v>
      </c>
      <c r="E50">
        <v>3371.13</v>
      </c>
      <c r="F50">
        <v>8</v>
      </c>
      <c r="G50">
        <v>1167.6500000000001</v>
      </c>
      <c r="H50">
        <v>0.2</v>
      </c>
      <c r="I50" t="str">
        <f>VLOOKUP(C50,[1]Sheet!$A:$D,3,FALSE)</f>
        <v>South</v>
      </c>
      <c r="J50" t="str">
        <f>VLOOKUP(C50,[1]Sheet!$A:$D,4,FALSE)</f>
        <v>Home Office</v>
      </c>
      <c r="K50">
        <f t="shared" si="0"/>
        <v>0.34636753848116214</v>
      </c>
    </row>
    <row r="51" spans="1:11" x14ac:dyDescent="0.25">
      <c r="A51" t="s">
        <v>147</v>
      </c>
      <c r="B51" t="s">
        <v>148</v>
      </c>
      <c r="C51" t="s">
        <v>119</v>
      </c>
      <c r="D51" t="s">
        <v>11</v>
      </c>
      <c r="E51">
        <v>4470.8999999999996</v>
      </c>
      <c r="F51">
        <v>3</v>
      </c>
      <c r="G51">
        <v>795.92</v>
      </c>
      <c r="H51">
        <v>0.15</v>
      </c>
      <c r="I51" t="str">
        <f>VLOOKUP(C51,[1]Sheet!$A:$D,3,FALSE)</f>
        <v>East</v>
      </c>
      <c r="J51" t="str">
        <f>VLOOKUP(C51,[1]Sheet!$A:$D,4,FALSE)</f>
        <v>Corporate</v>
      </c>
      <c r="K51">
        <f t="shared" si="0"/>
        <v>0.17802232212753585</v>
      </c>
    </row>
    <row r="52" spans="1:11" x14ac:dyDescent="0.25">
      <c r="A52" t="s">
        <v>149</v>
      </c>
      <c r="B52" t="s">
        <v>150</v>
      </c>
      <c r="C52" t="s">
        <v>151</v>
      </c>
      <c r="D52" t="s">
        <v>11</v>
      </c>
      <c r="E52">
        <v>1370.04</v>
      </c>
      <c r="F52">
        <v>9</v>
      </c>
      <c r="G52">
        <v>170.12</v>
      </c>
      <c r="H52">
        <v>0.15</v>
      </c>
      <c r="I52" t="str">
        <f>VLOOKUP(C52,[1]Sheet!$A:$D,3,FALSE)</f>
        <v>North</v>
      </c>
      <c r="J52" t="str">
        <f>VLOOKUP(C52,[1]Sheet!$A:$D,4,FALSE)</f>
        <v>Consumer</v>
      </c>
      <c r="K52">
        <f t="shared" si="0"/>
        <v>0.12417155703483111</v>
      </c>
    </row>
    <row r="53" spans="1:11" x14ac:dyDescent="0.25">
      <c r="A53" t="s">
        <v>152</v>
      </c>
      <c r="B53" t="s">
        <v>39</v>
      </c>
      <c r="C53" t="s">
        <v>10</v>
      </c>
      <c r="D53" t="s">
        <v>15</v>
      </c>
      <c r="E53">
        <v>1272.3</v>
      </c>
      <c r="F53">
        <v>5</v>
      </c>
      <c r="G53">
        <v>231.51</v>
      </c>
      <c r="H53">
        <v>0.1</v>
      </c>
      <c r="I53" t="str">
        <f>VLOOKUP(C53,[1]Sheet!$A:$D,3,FALSE)</f>
        <v>North</v>
      </c>
      <c r="J53" t="str">
        <f>VLOOKUP(C53,[1]Sheet!$A:$D,4,FALSE)</f>
        <v>Consumer</v>
      </c>
      <c r="K53">
        <f t="shared" si="0"/>
        <v>0.18196180146191937</v>
      </c>
    </row>
    <row r="54" spans="1:11" x14ac:dyDescent="0.25">
      <c r="A54" t="s">
        <v>153</v>
      </c>
      <c r="B54" t="s">
        <v>154</v>
      </c>
      <c r="C54" t="s">
        <v>155</v>
      </c>
      <c r="D54" t="s">
        <v>15</v>
      </c>
      <c r="E54">
        <v>4475.83</v>
      </c>
      <c r="F54">
        <v>7</v>
      </c>
      <c r="G54">
        <v>331.99</v>
      </c>
      <c r="H54">
        <v>0.05</v>
      </c>
      <c r="I54" t="str">
        <f>VLOOKUP(C54,[1]Sheet!$A:$D,3,FALSE)</f>
        <v>East</v>
      </c>
      <c r="J54" t="str">
        <f>VLOOKUP(C54,[1]Sheet!$A:$D,4,FALSE)</f>
        <v>Home Office</v>
      </c>
      <c r="K54">
        <f t="shared" si="0"/>
        <v>7.4173952093801607E-2</v>
      </c>
    </row>
    <row r="55" spans="1:11" x14ac:dyDescent="0.25">
      <c r="A55" t="s">
        <v>156</v>
      </c>
      <c r="B55" t="s">
        <v>115</v>
      </c>
      <c r="C55" t="s">
        <v>157</v>
      </c>
      <c r="D55" t="s">
        <v>22</v>
      </c>
      <c r="E55">
        <v>1148.3699999999999</v>
      </c>
      <c r="F55">
        <v>8</v>
      </c>
      <c r="G55">
        <v>200.35</v>
      </c>
      <c r="H55">
        <v>0.15</v>
      </c>
      <c r="I55" t="str">
        <f>VLOOKUP(C55,[1]Sheet!$A:$D,3,FALSE)</f>
        <v>South</v>
      </c>
      <c r="J55" t="str">
        <f>VLOOKUP(C55,[1]Sheet!$A:$D,4,FALSE)</f>
        <v>Home Office</v>
      </c>
      <c r="K55">
        <f t="shared" si="0"/>
        <v>0.17446467601905311</v>
      </c>
    </row>
    <row r="56" spans="1:11" x14ac:dyDescent="0.25">
      <c r="A56" t="s">
        <v>158</v>
      </c>
      <c r="B56" t="s">
        <v>159</v>
      </c>
      <c r="C56" t="s">
        <v>25</v>
      </c>
      <c r="D56" t="s">
        <v>22</v>
      </c>
      <c r="E56">
        <v>1113.49</v>
      </c>
      <c r="F56">
        <v>1</v>
      </c>
      <c r="G56">
        <v>196.02</v>
      </c>
      <c r="H56">
        <v>0.2</v>
      </c>
      <c r="I56" t="str">
        <f>VLOOKUP(C56,[1]Sheet!$A:$D,3,FALSE)</f>
        <v>South</v>
      </c>
      <c r="J56" t="str">
        <f>VLOOKUP(C56,[1]Sheet!$A:$D,4,FALSE)</f>
        <v>Consumer</v>
      </c>
      <c r="K56">
        <f t="shared" si="0"/>
        <v>0.17604109601343523</v>
      </c>
    </row>
    <row r="57" spans="1:11" x14ac:dyDescent="0.25">
      <c r="A57" t="s">
        <v>160</v>
      </c>
      <c r="B57" t="s">
        <v>161</v>
      </c>
      <c r="C57" t="s">
        <v>162</v>
      </c>
      <c r="D57" t="s">
        <v>11</v>
      </c>
      <c r="E57">
        <v>2437.1999999999998</v>
      </c>
      <c r="F57">
        <v>7</v>
      </c>
      <c r="G57">
        <v>811.15</v>
      </c>
      <c r="H57">
        <v>0.2</v>
      </c>
      <c r="I57" t="str">
        <f>VLOOKUP(C57,[1]Sheet!$A:$D,3,FALSE)</f>
        <v>West</v>
      </c>
      <c r="J57" t="str">
        <f>VLOOKUP(C57,[1]Sheet!$A:$D,4,FALSE)</f>
        <v>Corporate</v>
      </c>
      <c r="K57">
        <f t="shared" si="0"/>
        <v>0.33282044969637292</v>
      </c>
    </row>
    <row r="58" spans="1:11" x14ac:dyDescent="0.25">
      <c r="A58" t="s">
        <v>163</v>
      </c>
      <c r="B58" t="s">
        <v>164</v>
      </c>
      <c r="C58" t="s">
        <v>46</v>
      </c>
      <c r="D58" t="s">
        <v>11</v>
      </c>
      <c r="E58">
        <v>3699.71</v>
      </c>
      <c r="F58">
        <v>4</v>
      </c>
      <c r="G58">
        <v>1072.77</v>
      </c>
      <c r="H58">
        <v>0.1</v>
      </c>
      <c r="I58" t="str">
        <f>VLOOKUP(C58,[1]Sheet!$A:$D,3,FALSE)</f>
        <v>North</v>
      </c>
      <c r="J58" t="str">
        <f>VLOOKUP(C58,[1]Sheet!$A:$D,4,FALSE)</f>
        <v>Corporate</v>
      </c>
      <c r="K58">
        <f t="shared" si="0"/>
        <v>0.28996056447667518</v>
      </c>
    </row>
    <row r="59" spans="1:11" x14ac:dyDescent="0.25">
      <c r="A59" t="s">
        <v>165</v>
      </c>
      <c r="B59" t="s">
        <v>166</v>
      </c>
      <c r="C59" t="s">
        <v>127</v>
      </c>
      <c r="D59" t="s">
        <v>22</v>
      </c>
      <c r="E59">
        <v>2479.65</v>
      </c>
      <c r="F59">
        <v>7</v>
      </c>
      <c r="G59">
        <v>413.25</v>
      </c>
      <c r="H59">
        <v>0.05</v>
      </c>
      <c r="I59" t="str">
        <f>VLOOKUP(C59,[1]Sheet!$A:$D,3,FALSE)</f>
        <v>South</v>
      </c>
      <c r="J59" t="str">
        <f>VLOOKUP(C59,[1]Sheet!$A:$D,4,FALSE)</f>
        <v>Consumer</v>
      </c>
      <c r="K59">
        <f t="shared" si="0"/>
        <v>0.16665658459863286</v>
      </c>
    </row>
    <row r="60" spans="1:11" x14ac:dyDescent="0.25">
      <c r="A60" t="s">
        <v>167</v>
      </c>
      <c r="B60" t="s">
        <v>168</v>
      </c>
      <c r="C60" t="s">
        <v>146</v>
      </c>
      <c r="D60" t="s">
        <v>15</v>
      </c>
      <c r="E60">
        <v>4605.75</v>
      </c>
      <c r="F60">
        <v>7</v>
      </c>
      <c r="G60">
        <v>1585.38</v>
      </c>
      <c r="H60">
        <v>0.2</v>
      </c>
      <c r="I60" t="str">
        <f>VLOOKUP(C60,[1]Sheet!$A:$D,3,FALSE)</f>
        <v>South</v>
      </c>
      <c r="J60" t="str">
        <f>VLOOKUP(C60,[1]Sheet!$A:$D,4,FALSE)</f>
        <v>Home Office</v>
      </c>
      <c r="K60">
        <f t="shared" si="0"/>
        <v>0.34421755414427618</v>
      </c>
    </row>
    <row r="61" spans="1:11" x14ac:dyDescent="0.25">
      <c r="A61" t="s">
        <v>169</v>
      </c>
      <c r="B61" t="s">
        <v>170</v>
      </c>
      <c r="C61" t="s">
        <v>62</v>
      </c>
      <c r="D61" t="s">
        <v>15</v>
      </c>
      <c r="E61">
        <v>3348.7</v>
      </c>
      <c r="F61">
        <v>8</v>
      </c>
      <c r="G61">
        <v>251.77</v>
      </c>
      <c r="H61">
        <v>0.05</v>
      </c>
      <c r="I61" t="str">
        <f>VLOOKUP(C61,[1]Sheet!$A:$D,3,FALSE)</f>
        <v>East</v>
      </c>
      <c r="J61" t="str">
        <f>VLOOKUP(C61,[1]Sheet!$A:$D,4,FALSE)</f>
        <v>Home Office</v>
      </c>
      <c r="K61">
        <f t="shared" si="0"/>
        <v>7.5184399916385466E-2</v>
      </c>
    </row>
    <row r="62" spans="1:11" x14ac:dyDescent="0.25">
      <c r="A62" t="s">
        <v>171</v>
      </c>
      <c r="B62" t="s">
        <v>172</v>
      </c>
      <c r="C62" t="s">
        <v>173</v>
      </c>
      <c r="D62" t="s">
        <v>11</v>
      </c>
      <c r="E62">
        <v>1374.77</v>
      </c>
      <c r="F62">
        <v>6</v>
      </c>
      <c r="G62">
        <v>203.75</v>
      </c>
      <c r="H62">
        <v>0.15</v>
      </c>
      <c r="I62" t="str">
        <f>VLOOKUP(C62,[1]Sheet!$A:$D,3,FALSE)</f>
        <v>North</v>
      </c>
      <c r="J62" t="str">
        <f>VLOOKUP(C62,[1]Sheet!$A:$D,4,FALSE)</f>
        <v>Consumer</v>
      </c>
      <c r="K62">
        <f t="shared" si="0"/>
        <v>0.14820660910552311</v>
      </c>
    </row>
    <row r="63" spans="1:11" x14ac:dyDescent="0.25">
      <c r="A63" t="s">
        <v>174</v>
      </c>
      <c r="B63" t="s">
        <v>175</v>
      </c>
      <c r="C63" t="s">
        <v>176</v>
      </c>
      <c r="D63" t="s">
        <v>15</v>
      </c>
      <c r="E63">
        <v>3784.85</v>
      </c>
      <c r="F63">
        <v>8</v>
      </c>
      <c r="G63">
        <v>1133.8599999999999</v>
      </c>
      <c r="H63">
        <v>0</v>
      </c>
      <c r="I63" t="str">
        <f>VLOOKUP(C63,[1]Sheet!$A:$D,3,FALSE)</f>
        <v>East</v>
      </c>
      <c r="J63" t="str">
        <f>VLOOKUP(C63,[1]Sheet!$A:$D,4,FALSE)</f>
        <v>Home Office</v>
      </c>
      <c r="K63">
        <f t="shared" si="0"/>
        <v>0.29957858303499474</v>
      </c>
    </row>
    <row r="64" spans="1:11" x14ac:dyDescent="0.25">
      <c r="A64" t="s">
        <v>177</v>
      </c>
      <c r="B64" t="s">
        <v>178</v>
      </c>
      <c r="C64" t="s">
        <v>46</v>
      </c>
      <c r="D64" t="s">
        <v>15</v>
      </c>
      <c r="E64">
        <v>2743.15</v>
      </c>
      <c r="F64">
        <v>2</v>
      </c>
      <c r="G64">
        <v>960.03</v>
      </c>
      <c r="H64">
        <v>0</v>
      </c>
      <c r="I64" t="str">
        <f>VLOOKUP(C64,[1]Sheet!$A:$D,3,FALSE)</f>
        <v>North</v>
      </c>
      <c r="J64" t="str">
        <f>VLOOKUP(C64,[1]Sheet!$A:$D,4,FALSE)</f>
        <v>Corporate</v>
      </c>
      <c r="K64">
        <f t="shared" si="0"/>
        <v>0.34997357053022982</v>
      </c>
    </row>
    <row r="65" spans="1:11" x14ac:dyDescent="0.25">
      <c r="A65" t="s">
        <v>179</v>
      </c>
      <c r="B65" t="s">
        <v>180</v>
      </c>
      <c r="C65" t="s">
        <v>181</v>
      </c>
      <c r="D65" t="s">
        <v>22</v>
      </c>
      <c r="E65">
        <v>252.05</v>
      </c>
      <c r="F65">
        <v>3</v>
      </c>
      <c r="G65">
        <v>31.3</v>
      </c>
      <c r="H65">
        <v>0.05</v>
      </c>
      <c r="I65" t="str">
        <f>VLOOKUP(C65,[1]Sheet!$A:$D,3,FALSE)</f>
        <v>North</v>
      </c>
      <c r="J65" t="str">
        <f>VLOOKUP(C65,[1]Sheet!$A:$D,4,FALSE)</f>
        <v>Home Office</v>
      </c>
      <c r="K65">
        <f t="shared" si="0"/>
        <v>0.12418170997817893</v>
      </c>
    </row>
    <row r="66" spans="1:11" x14ac:dyDescent="0.25">
      <c r="A66" t="s">
        <v>182</v>
      </c>
      <c r="B66" t="s">
        <v>183</v>
      </c>
      <c r="C66" t="s">
        <v>184</v>
      </c>
      <c r="D66" t="s">
        <v>11</v>
      </c>
      <c r="E66">
        <v>2420.4499999999998</v>
      </c>
      <c r="F66">
        <v>5</v>
      </c>
      <c r="G66">
        <v>204.08</v>
      </c>
      <c r="H66">
        <v>0.1</v>
      </c>
      <c r="I66" t="str">
        <f>VLOOKUP(C66,[1]Sheet!$A:$D,3,FALSE)</f>
        <v>South</v>
      </c>
      <c r="J66" t="str">
        <f>VLOOKUP(C66,[1]Sheet!$A:$D,4,FALSE)</f>
        <v>Corporate</v>
      </c>
      <c r="K66">
        <f t="shared" si="0"/>
        <v>8.4314900121878172E-2</v>
      </c>
    </row>
    <row r="67" spans="1:11" x14ac:dyDescent="0.25">
      <c r="A67" t="s">
        <v>185</v>
      </c>
      <c r="B67" t="s">
        <v>186</v>
      </c>
      <c r="C67" t="s">
        <v>187</v>
      </c>
      <c r="D67" t="s">
        <v>15</v>
      </c>
      <c r="E67">
        <v>3068.87</v>
      </c>
      <c r="F67">
        <v>5</v>
      </c>
      <c r="G67">
        <v>1040.72</v>
      </c>
      <c r="H67">
        <v>0</v>
      </c>
      <c r="I67" t="str">
        <f>VLOOKUP(C67,[1]Sheet!$A:$D,3,FALSE)</f>
        <v>West</v>
      </c>
      <c r="J67" t="str">
        <f>VLOOKUP(C67,[1]Sheet!$A:$D,4,FALSE)</f>
        <v>Home Office</v>
      </c>
      <c r="K67">
        <f t="shared" ref="K67:K130" si="1">G67/E67</f>
        <v>0.33912156591839998</v>
      </c>
    </row>
    <row r="68" spans="1:11" x14ac:dyDescent="0.25">
      <c r="A68" t="s">
        <v>188</v>
      </c>
      <c r="B68" t="s">
        <v>189</v>
      </c>
      <c r="C68" t="s">
        <v>88</v>
      </c>
      <c r="D68" t="s">
        <v>11</v>
      </c>
      <c r="E68">
        <v>225.82</v>
      </c>
      <c r="F68">
        <v>7</v>
      </c>
      <c r="G68">
        <v>32.42</v>
      </c>
      <c r="H68">
        <v>0.05</v>
      </c>
      <c r="I68" t="str">
        <f>VLOOKUP(C68,[1]Sheet!$A:$D,3,FALSE)</f>
        <v>North</v>
      </c>
      <c r="J68" t="str">
        <f>VLOOKUP(C68,[1]Sheet!$A:$D,4,FALSE)</f>
        <v>Home Office</v>
      </c>
      <c r="K68">
        <f t="shared" si="1"/>
        <v>0.14356567177397928</v>
      </c>
    </row>
    <row r="69" spans="1:11" x14ac:dyDescent="0.25">
      <c r="A69" t="s">
        <v>190</v>
      </c>
      <c r="B69" t="s">
        <v>191</v>
      </c>
      <c r="C69" t="s">
        <v>85</v>
      </c>
      <c r="D69" t="s">
        <v>15</v>
      </c>
      <c r="E69">
        <v>3001.28</v>
      </c>
      <c r="F69">
        <v>5</v>
      </c>
      <c r="G69">
        <v>897.9</v>
      </c>
      <c r="H69">
        <v>0.2</v>
      </c>
      <c r="I69" t="str">
        <f>VLOOKUP(C69,[1]Sheet!$A:$D,3,FALSE)</f>
        <v>South</v>
      </c>
      <c r="J69" t="str">
        <f>VLOOKUP(C69,[1]Sheet!$A:$D,4,FALSE)</f>
        <v>Home Office</v>
      </c>
      <c r="K69">
        <f t="shared" si="1"/>
        <v>0.29917235312933144</v>
      </c>
    </row>
    <row r="70" spans="1:11" x14ac:dyDescent="0.25">
      <c r="A70" t="s">
        <v>192</v>
      </c>
      <c r="B70" t="s">
        <v>87</v>
      </c>
      <c r="C70" t="s">
        <v>193</v>
      </c>
      <c r="D70" t="s">
        <v>11</v>
      </c>
      <c r="E70">
        <v>4001.51</v>
      </c>
      <c r="F70">
        <v>9</v>
      </c>
      <c r="G70">
        <v>879.45</v>
      </c>
      <c r="H70">
        <v>0.15</v>
      </c>
      <c r="I70" t="str">
        <f>VLOOKUP(C70,[1]Sheet!$A:$D,3,FALSE)</f>
        <v>East</v>
      </c>
      <c r="J70" t="str">
        <f>VLOOKUP(C70,[1]Sheet!$A:$D,4,FALSE)</f>
        <v>Consumer</v>
      </c>
      <c r="K70">
        <f t="shared" si="1"/>
        <v>0.21977953322620711</v>
      </c>
    </row>
    <row r="71" spans="1:11" x14ac:dyDescent="0.25">
      <c r="A71" t="s">
        <v>194</v>
      </c>
      <c r="B71" t="s">
        <v>195</v>
      </c>
      <c r="C71" t="s">
        <v>21</v>
      </c>
      <c r="D71" t="s">
        <v>15</v>
      </c>
      <c r="E71">
        <v>1915.8</v>
      </c>
      <c r="F71">
        <v>7</v>
      </c>
      <c r="G71">
        <v>386.59</v>
      </c>
      <c r="H71">
        <v>0.15</v>
      </c>
      <c r="I71" t="str">
        <f>VLOOKUP(C71,[1]Sheet!$A:$D,3,FALSE)</f>
        <v>North</v>
      </c>
      <c r="J71" t="str">
        <f>VLOOKUP(C71,[1]Sheet!$A:$D,4,FALSE)</f>
        <v>Consumer</v>
      </c>
      <c r="K71">
        <f t="shared" si="1"/>
        <v>0.20179037477816056</v>
      </c>
    </row>
    <row r="72" spans="1:11" x14ac:dyDescent="0.25">
      <c r="A72" t="s">
        <v>196</v>
      </c>
      <c r="B72" t="s">
        <v>197</v>
      </c>
      <c r="C72" t="s">
        <v>198</v>
      </c>
      <c r="D72" t="s">
        <v>22</v>
      </c>
      <c r="E72">
        <v>2224.2600000000002</v>
      </c>
      <c r="F72">
        <v>3</v>
      </c>
      <c r="G72">
        <v>352.89</v>
      </c>
      <c r="H72">
        <v>0.15</v>
      </c>
      <c r="I72" t="str">
        <f>VLOOKUP(C72,[1]Sheet!$A:$D,3,FALSE)</f>
        <v>South</v>
      </c>
      <c r="J72" t="str">
        <f>VLOOKUP(C72,[1]Sheet!$A:$D,4,FALSE)</f>
        <v>Home Office</v>
      </c>
      <c r="K72">
        <f t="shared" si="1"/>
        <v>0.1586550133527555</v>
      </c>
    </row>
    <row r="73" spans="1:11" x14ac:dyDescent="0.25">
      <c r="A73" t="s">
        <v>199</v>
      </c>
      <c r="B73" t="s">
        <v>200</v>
      </c>
      <c r="C73" t="s">
        <v>201</v>
      </c>
      <c r="D73" t="s">
        <v>22</v>
      </c>
      <c r="E73">
        <v>3695.6</v>
      </c>
      <c r="F73">
        <v>9</v>
      </c>
      <c r="G73">
        <v>1255.18</v>
      </c>
      <c r="H73">
        <v>0.15</v>
      </c>
      <c r="I73" t="str">
        <f>VLOOKUP(C73,[1]Sheet!$A:$D,3,FALSE)</f>
        <v>North</v>
      </c>
      <c r="J73" t="str">
        <f>VLOOKUP(C73,[1]Sheet!$A:$D,4,FALSE)</f>
        <v>Corporate</v>
      </c>
      <c r="K73">
        <f t="shared" si="1"/>
        <v>0.33964173611862758</v>
      </c>
    </row>
    <row r="74" spans="1:11" x14ac:dyDescent="0.25">
      <c r="A74" t="s">
        <v>202</v>
      </c>
      <c r="B74" t="s">
        <v>203</v>
      </c>
      <c r="C74" t="s">
        <v>146</v>
      </c>
      <c r="D74" t="s">
        <v>11</v>
      </c>
      <c r="E74">
        <v>2234.3200000000002</v>
      </c>
      <c r="F74">
        <v>4</v>
      </c>
      <c r="G74">
        <v>601.72</v>
      </c>
      <c r="H74">
        <v>0</v>
      </c>
      <c r="I74" t="str">
        <f>VLOOKUP(C74,[1]Sheet!$A:$D,3,FALSE)</f>
        <v>South</v>
      </c>
      <c r="J74" t="str">
        <f>VLOOKUP(C74,[1]Sheet!$A:$D,4,FALSE)</f>
        <v>Home Office</v>
      </c>
      <c r="K74">
        <f t="shared" si="1"/>
        <v>0.26930788785849835</v>
      </c>
    </row>
    <row r="75" spans="1:11" x14ac:dyDescent="0.25">
      <c r="A75" t="s">
        <v>204</v>
      </c>
      <c r="B75" t="s">
        <v>205</v>
      </c>
      <c r="C75" t="s">
        <v>176</v>
      </c>
      <c r="D75" t="s">
        <v>22</v>
      </c>
      <c r="E75">
        <v>4419.99</v>
      </c>
      <c r="F75">
        <v>10</v>
      </c>
      <c r="G75">
        <v>544.36</v>
      </c>
      <c r="H75">
        <v>0.15</v>
      </c>
      <c r="I75" t="str">
        <f>VLOOKUP(C75,[1]Sheet!$A:$D,3,FALSE)</f>
        <v>East</v>
      </c>
      <c r="J75" t="str">
        <f>VLOOKUP(C75,[1]Sheet!$A:$D,4,FALSE)</f>
        <v>Home Office</v>
      </c>
      <c r="K75">
        <f t="shared" si="1"/>
        <v>0.1231586496802029</v>
      </c>
    </row>
    <row r="76" spans="1:11" x14ac:dyDescent="0.25">
      <c r="A76" t="s">
        <v>206</v>
      </c>
      <c r="B76" t="s">
        <v>207</v>
      </c>
      <c r="C76" t="s">
        <v>208</v>
      </c>
      <c r="D76" t="s">
        <v>11</v>
      </c>
      <c r="E76">
        <v>240.63</v>
      </c>
      <c r="F76">
        <v>4</v>
      </c>
      <c r="G76">
        <v>73.459999999999994</v>
      </c>
      <c r="H76">
        <v>0.1</v>
      </c>
      <c r="I76" t="str">
        <f>VLOOKUP(C76,[1]Sheet!$A:$D,3,FALSE)</f>
        <v>South</v>
      </c>
      <c r="J76" t="str">
        <f>VLOOKUP(C76,[1]Sheet!$A:$D,4,FALSE)</f>
        <v>Consumer</v>
      </c>
      <c r="K76">
        <f t="shared" si="1"/>
        <v>0.30528196816689523</v>
      </c>
    </row>
    <row r="77" spans="1:11" x14ac:dyDescent="0.25">
      <c r="A77" t="s">
        <v>209</v>
      </c>
      <c r="B77" t="s">
        <v>210</v>
      </c>
      <c r="C77" t="s">
        <v>40</v>
      </c>
      <c r="D77" t="s">
        <v>11</v>
      </c>
      <c r="E77">
        <v>1767.66</v>
      </c>
      <c r="F77">
        <v>9</v>
      </c>
      <c r="G77">
        <v>555.21</v>
      </c>
      <c r="H77">
        <v>0</v>
      </c>
      <c r="I77" t="str">
        <f>VLOOKUP(C77,[1]Sheet!$A:$D,3,FALSE)</f>
        <v>East</v>
      </c>
      <c r="J77" t="str">
        <f>VLOOKUP(C77,[1]Sheet!$A:$D,4,FALSE)</f>
        <v>Corporate</v>
      </c>
      <c r="K77">
        <f t="shared" si="1"/>
        <v>0.31409320796985846</v>
      </c>
    </row>
    <row r="78" spans="1:11" x14ac:dyDescent="0.25">
      <c r="A78" t="s">
        <v>211</v>
      </c>
      <c r="B78" t="s">
        <v>17</v>
      </c>
      <c r="C78" t="s">
        <v>212</v>
      </c>
      <c r="D78" t="s">
        <v>11</v>
      </c>
      <c r="E78">
        <v>4745.51</v>
      </c>
      <c r="F78">
        <v>9</v>
      </c>
      <c r="G78">
        <v>359.16</v>
      </c>
      <c r="H78">
        <v>0.05</v>
      </c>
      <c r="I78" t="str">
        <f>VLOOKUP(C78,[1]Sheet!$A:$D,3,FALSE)</f>
        <v>North</v>
      </c>
      <c r="J78" t="str">
        <f>VLOOKUP(C78,[1]Sheet!$A:$D,4,FALSE)</f>
        <v>Home Office</v>
      </c>
      <c r="K78">
        <f t="shared" si="1"/>
        <v>7.5684173039357205E-2</v>
      </c>
    </row>
    <row r="79" spans="1:11" x14ac:dyDescent="0.25">
      <c r="A79" t="s">
        <v>213</v>
      </c>
      <c r="B79" t="s">
        <v>214</v>
      </c>
      <c r="C79" t="s">
        <v>215</v>
      </c>
      <c r="D79" t="s">
        <v>15</v>
      </c>
      <c r="E79">
        <v>2432.86</v>
      </c>
      <c r="F79">
        <v>2</v>
      </c>
      <c r="G79">
        <v>641.19000000000005</v>
      </c>
      <c r="H79">
        <v>0.1</v>
      </c>
      <c r="I79" t="str">
        <f>VLOOKUP(C79,[1]Sheet!$A:$D,3,FALSE)</f>
        <v>South</v>
      </c>
      <c r="J79" t="str">
        <f>VLOOKUP(C79,[1]Sheet!$A:$D,4,FALSE)</f>
        <v>Corporate</v>
      </c>
      <c r="K79">
        <f t="shared" si="1"/>
        <v>0.26355400639576465</v>
      </c>
    </row>
    <row r="80" spans="1:11" x14ac:dyDescent="0.25">
      <c r="A80" t="s">
        <v>216</v>
      </c>
      <c r="B80" t="s">
        <v>217</v>
      </c>
      <c r="C80" t="s">
        <v>218</v>
      </c>
      <c r="D80" t="s">
        <v>22</v>
      </c>
      <c r="E80">
        <v>2081.5700000000002</v>
      </c>
      <c r="F80">
        <v>6</v>
      </c>
      <c r="G80">
        <v>256.02</v>
      </c>
      <c r="H80">
        <v>0.15</v>
      </c>
      <c r="I80" t="str">
        <f>VLOOKUP(C80,[1]Sheet!$A:$D,3,FALSE)</f>
        <v>South</v>
      </c>
      <c r="J80" t="str">
        <f>VLOOKUP(C80,[1]Sheet!$A:$D,4,FALSE)</f>
        <v>Corporate</v>
      </c>
      <c r="K80">
        <f t="shared" si="1"/>
        <v>0.12299370186926213</v>
      </c>
    </row>
    <row r="81" spans="1:11" x14ac:dyDescent="0.25">
      <c r="A81" t="s">
        <v>219</v>
      </c>
      <c r="B81" t="s">
        <v>220</v>
      </c>
      <c r="C81" t="s">
        <v>221</v>
      </c>
      <c r="D81" t="s">
        <v>11</v>
      </c>
      <c r="E81">
        <v>2701.52</v>
      </c>
      <c r="F81">
        <v>6</v>
      </c>
      <c r="G81">
        <v>479.93</v>
      </c>
      <c r="H81">
        <v>0.15</v>
      </c>
      <c r="I81" t="str">
        <f>VLOOKUP(C81,[1]Sheet!$A:$D,3,FALSE)</f>
        <v>South</v>
      </c>
      <c r="J81" t="str">
        <f>VLOOKUP(C81,[1]Sheet!$A:$D,4,FALSE)</f>
        <v>Corporate</v>
      </c>
      <c r="K81">
        <f t="shared" si="1"/>
        <v>0.17765184044537891</v>
      </c>
    </row>
    <row r="82" spans="1:11" x14ac:dyDescent="0.25">
      <c r="A82" t="s">
        <v>222</v>
      </c>
      <c r="B82" t="s">
        <v>223</v>
      </c>
      <c r="C82" t="s">
        <v>224</v>
      </c>
      <c r="D82" t="s">
        <v>11</v>
      </c>
      <c r="E82">
        <v>1602.45</v>
      </c>
      <c r="F82">
        <v>2</v>
      </c>
      <c r="G82">
        <v>190.95</v>
      </c>
      <c r="H82">
        <v>0.2</v>
      </c>
      <c r="I82" t="str">
        <f>VLOOKUP(C82,[1]Sheet!$A:$D,3,FALSE)</f>
        <v>South</v>
      </c>
      <c r="J82" t="str">
        <f>VLOOKUP(C82,[1]Sheet!$A:$D,4,FALSE)</f>
        <v>Home Office</v>
      </c>
      <c r="K82">
        <f t="shared" si="1"/>
        <v>0.11916128428344097</v>
      </c>
    </row>
    <row r="83" spans="1:11" x14ac:dyDescent="0.25">
      <c r="A83" t="s">
        <v>225</v>
      </c>
      <c r="B83" t="s">
        <v>226</v>
      </c>
      <c r="C83" t="s">
        <v>227</v>
      </c>
      <c r="D83" t="s">
        <v>11</v>
      </c>
      <c r="E83">
        <v>3481.8</v>
      </c>
      <c r="F83">
        <v>10</v>
      </c>
      <c r="G83">
        <v>374.16</v>
      </c>
      <c r="H83">
        <v>0.2</v>
      </c>
      <c r="I83" t="str">
        <f>VLOOKUP(C83,[1]Sheet!$A:$D,3,FALSE)</f>
        <v>South</v>
      </c>
      <c r="J83" t="str">
        <f>VLOOKUP(C83,[1]Sheet!$A:$D,4,FALSE)</f>
        <v>Home Office</v>
      </c>
      <c r="K83">
        <f t="shared" si="1"/>
        <v>0.10746165776322592</v>
      </c>
    </row>
    <row r="84" spans="1:11" x14ac:dyDescent="0.25">
      <c r="A84" t="s">
        <v>228</v>
      </c>
      <c r="B84" t="s">
        <v>229</v>
      </c>
      <c r="C84" t="s">
        <v>230</v>
      </c>
      <c r="D84" t="s">
        <v>11</v>
      </c>
      <c r="E84">
        <v>1486.69</v>
      </c>
      <c r="F84">
        <v>4</v>
      </c>
      <c r="G84">
        <v>119.17</v>
      </c>
      <c r="H84">
        <v>0.1</v>
      </c>
      <c r="I84" t="str">
        <f>VLOOKUP(C84,[1]Sheet!$A:$D,3,FALSE)</f>
        <v>South</v>
      </c>
      <c r="J84" t="str">
        <f>VLOOKUP(C84,[1]Sheet!$A:$D,4,FALSE)</f>
        <v>Consumer</v>
      </c>
      <c r="K84">
        <f t="shared" si="1"/>
        <v>8.0157934740934564E-2</v>
      </c>
    </row>
    <row r="85" spans="1:11" x14ac:dyDescent="0.25">
      <c r="A85" t="s">
        <v>231</v>
      </c>
      <c r="B85" t="s">
        <v>232</v>
      </c>
      <c r="C85" t="s">
        <v>201</v>
      </c>
      <c r="D85" t="s">
        <v>11</v>
      </c>
      <c r="E85">
        <v>1581.11</v>
      </c>
      <c r="F85">
        <v>1</v>
      </c>
      <c r="G85">
        <v>414.89</v>
      </c>
      <c r="H85">
        <v>0</v>
      </c>
      <c r="I85" t="str">
        <f>VLOOKUP(C85,[1]Sheet!$A:$D,3,FALSE)</f>
        <v>North</v>
      </c>
      <c r="J85" t="str">
        <f>VLOOKUP(C85,[1]Sheet!$A:$D,4,FALSE)</f>
        <v>Corporate</v>
      </c>
      <c r="K85">
        <f t="shared" si="1"/>
        <v>0.26240426029814501</v>
      </c>
    </row>
    <row r="86" spans="1:11" x14ac:dyDescent="0.25">
      <c r="A86" t="s">
        <v>233</v>
      </c>
      <c r="B86" t="s">
        <v>150</v>
      </c>
      <c r="C86" t="s">
        <v>221</v>
      </c>
      <c r="D86" t="s">
        <v>11</v>
      </c>
      <c r="E86">
        <v>1531.47</v>
      </c>
      <c r="F86">
        <v>2</v>
      </c>
      <c r="G86">
        <v>510.33</v>
      </c>
      <c r="H86">
        <v>0</v>
      </c>
      <c r="I86" t="str">
        <f>VLOOKUP(C86,[1]Sheet!$A:$D,3,FALSE)</f>
        <v>South</v>
      </c>
      <c r="J86" t="str">
        <f>VLOOKUP(C86,[1]Sheet!$A:$D,4,FALSE)</f>
        <v>Corporate</v>
      </c>
      <c r="K86">
        <f t="shared" si="1"/>
        <v>0.33322885854766987</v>
      </c>
    </row>
    <row r="87" spans="1:11" x14ac:dyDescent="0.25">
      <c r="A87" t="s">
        <v>234</v>
      </c>
      <c r="B87" t="s">
        <v>195</v>
      </c>
      <c r="C87" t="s">
        <v>235</v>
      </c>
      <c r="D87" t="s">
        <v>15</v>
      </c>
      <c r="E87">
        <v>1493.26</v>
      </c>
      <c r="F87">
        <v>1</v>
      </c>
      <c r="G87">
        <v>289.12</v>
      </c>
      <c r="H87">
        <v>0.1</v>
      </c>
      <c r="I87" t="str">
        <f>VLOOKUP(C87,[1]Sheet!$A:$D,3,FALSE)</f>
        <v>South</v>
      </c>
      <c r="J87" t="str">
        <f>VLOOKUP(C87,[1]Sheet!$A:$D,4,FALSE)</f>
        <v>Home Office</v>
      </c>
      <c r="K87">
        <f t="shared" si="1"/>
        <v>0.1936166508176741</v>
      </c>
    </row>
    <row r="88" spans="1:11" x14ac:dyDescent="0.25">
      <c r="A88" t="s">
        <v>236</v>
      </c>
      <c r="B88" t="s">
        <v>237</v>
      </c>
      <c r="C88" t="s">
        <v>238</v>
      </c>
      <c r="D88" t="s">
        <v>15</v>
      </c>
      <c r="E88">
        <v>659.03</v>
      </c>
      <c r="F88">
        <v>10</v>
      </c>
      <c r="G88">
        <v>45.87</v>
      </c>
      <c r="H88">
        <v>0</v>
      </c>
      <c r="I88" t="str">
        <f>VLOOKUP(C88,[1]Sheet!$A:$D,3,FALSE)</f>
        <v>North</v>
      </c>
      <c r="J88" t="str">
        <f>VLOOKUP(C88,[1]Sheet!$A:$D,4,FALSE)</f>
        <v>Corporate</v>
      </c>
      <c r="K88">
        <f t="shared" si="1"/>
        <v>6.9602294280988727E-2</v>
      </c>
    </row>
    <row r="89" spans="1:11" x14ac:dyDescent="0.25">
      <c r="A89" t="s">
        <v>239</v>
      </c>
      <c r="B89" t="s">
        <v>240</v>
      </c>
      <c r="C89" t="s">
        <v>43</v>
      </c>
      <c r="D89" t="s">
        <v>15</v>
      </c>
      <c r="E89">
        <v>831.07</v>
      </c>
      <c r="F89">
        <v>4</v>
      </c>
      <c r="G89">
        <v>181.88</v>
      </c>
      <c r="H89">
        <v>0</v>
      </c>
      <c r="I89" t="str">
        <f>VLOOKUP(C89,[1]Sheet!$A:$D,3,FALSE)</f>
        <v>East</v>
      </c>
      <c r="J89" t="str">
        <f>VLOOKUP(C89,[1]Sheet!$A:$D,4,FALSE)</f>
        <v>Corporate</v>
      </c>
      <c r="K89">
        <f t="shared" si="1"/>
        <v>0.21885039768009912</v>
      </c>
    </row>
    <row r="90" spans="1:11" x14ac:dyDescent="0.25">
      <c r="A90" t="s">
        <v>241</v>
      </c>
      <c r="B90" t="s">
        <v>242</v>
      </c>
      <c r="C90" t="s">
        <v>243</v>
      </c>
      <c r="D90" t="s">
        <v>15</v>
      </c>
      <c r="E90">
        <v>3845.77</v>
      </c>
      <c r="F90">
        <v>9</v>
      </c>
      <c r="G90">
        <v>891.82</v>
      </c>
      <c r="H90">
        <v>0.15</v>
      </c>
      <c r="I90" t="str">
        <f>VLOOKUP(C90,[1]Sheet!$A:$D,3,FALSE)</f>
        <v>North</v>
      </c>
      <c r="J90" t="str">
        <f>VLOOKUP(C90,[1]Sheet!$A:$D,4,FALSE)</f>
        <v>Home Office</v>
      </c>
      <c r="K90">
        <f t="shared" si="1"/>
        <v>0.23189634325505687</v>
      </c>
    </row>
    <row r="91" spans="1:11" x14ac:dyDescent="0.25">
      <c r="A91" t="s">
        <v>244</v>
      </c>
      <c r="B91" t="s">
        <v>245</v>
      </c>
      <c r="C91" t="s">
        <v>151</v>
      </c>
      <c r="D91" t="s">
        <v>11</v>
      </c>
      <c r="E91">
        <v>4551.67</v>
      </c>
      <c r="F91">
        <v>5</v>
      </c>
      <c r="G91">
        <v>633.62</v>
      </c>
      <c r="H91">
        <v>0.2</v>
      </c>
      <c r="I91" t="str">
        <f>VLOOKUP(C91,[1]Sheet!$A:$D,3,FALSE)</f>
        <v>North</v>
      </c>
      <c r="J91" t="str">
        <f>VLOOKUP(C91,[1]Sheet!$A:$D,4,FALSE)</f>
        <v>Consumer</v>
      </c>
      <c r="K91">
        <f t="shared" si="1"/>
        <v>0.13920604964771172</v>
      </c>
    </row>
    <row r="92" spans="1:11" x14ac:dyDescent="0.25">
      <c r="A92" t="s">
        <v>246</v>
      </c>
      <c r="B92" t="s">
        <v>30</v>
      </c>
      <c r="C92" t="s">
        <v>94</v>
      </c>
      <c r="D92" t="s">
        <v>15</v>
      </c>
      <c r="E92">
        <v>395.13</v>
      </c>
      <c r="F92">
        <v>4</v>
      </c>
      <c r="G92">
        <v>133.57</v>
      </c>
      <c r="H92">
        <v>0.1</v>
      </c>
      <c r="I92" t="str">
        <f>VLOOKUP(C92,[1]Sheet!$A:$D,3,FALSE)</f>
        <v>East</v>
      </c>
      <c r="J92" t="str">
        <f>VLOOKUP(C92,[1]Sheet!$A:$D,4,FALSE)</f>
        <v>Corporate</v>
      </c>
      <c r="K92">
        <f t="shared" si="1"/>
        <v>0.33804064485106167</v>
      </c>
    </row>
    <row r="93" spans="1:11" x14ac:dyDescent="0.25">
      <c r="A93" t="s">
        <v>247</v>
      </c>
      <c r="B93" t="s">
        <v>248</v>
      </c>
      <c r="C93" t="s">
        <v>21</v>
      </c>
      <c r="D93" t="s">
        <v>15</v>
      </c>
      <c r="E93">
        <v>497.82</v>
      </c>
      <c r="F93">
        <v>3</v>
      </c>
      <c r="G93">
        <v>60.71</v>
      </c>
      <c r="H93">
        <v>0</v>
      </c>
      <c r="I93" t="str">
        <f>VLOOKUP(C93,[1]Sheet!$A:$D,3,FALSE)</f>
        <v>North</v>
      </c>
      <c r="J93" t="str">
        <f>VLOOKUP(C93,[1]Sheet!$A:$D,4,FALSE)</f>
        <v>Consumer</v>
      </c>
      <c r="K93">
        <f t="shared" si="1"/>
        <v>0.12195170945321603</v>
      </c>
    </row>
    <row r="94" spans="1:11" x14ac:dyDescent="0.25">
      <c r="A94" t="s">
        <v>249</v>
      </c>
      <c r="B94" t="s">
        <v>250</v>
      </c>
      <c r="C94" t="s">
        <v>251</v>
      </c>
      <c r="D94" t="s">
        <v>15</v>
      </c>
      <c r="E94">
        <v>2307.4699999999998</v>
      </c>
      <c r="F94">
        <v>4</v>
      </c>
      <c r="G94">
        <v>526.42999999999995</v>
      </c>
      <c r="H94">
        <v>0.1</v>
      </c>
      <c r="I94" t="str">
        <f>VLOOKUP(C94,[1]Sheet!$A:$D,3,FALSE)</f>
        <v>East</v>
      </c>
      <c r="J94" t="str">
        <f>VLOOKUP(C94,[1]Sheet!$A:$D,4,FALSE)</f>
        <v>Home Office</v>
      </c>
      <c r="K94">
        <f t="shared" si="1"/>
        <v>0.22814164431173536</v>
      </c>
    </row>
    <row r="95" spans="1:11" x14ac:dyDescent="0.25">
      <c r="A95" t="s">
        <v>252</v>
      </c>
      <c r="B95" t="s">
        <v>253</v>
      </c>
      <c r="C95" t="s">
        <v>157</v>
      </c>
      <c r="D95" t="s">
        <v>22</v>
      </c>
      <c r="E95">
        <v>1485.32</v>
      </c>
      <c r="F95">
        <v>4</v>
      </c>
      <c r="G95">
        <v>457.3</v>
      </c>
      <c r="H95">
        <v>0.1</v>
      </c>
      <c r="I95" t="str">
        <f>VLOOKUP(C95,[1]Sheet!$A:$D,3,FALSE)</f>
        <v>South</v>
      </c>
      <c r="J95" t="str">
        <f>VLOOKUP(C95,[1]Sheet!$A:$D,4,FALSE)</f>
        <v>Home Office</v>
      </c>
      <c r="K95">
        <f t="shared" si="1"/>
        <v>0.30787978348100076</v>
      </c>
    </row>
    <row r="96" spans="1:11" x14ac:dyDescent="0.25">
      <c r="A96" t="s">
        <v>254</v>
      </c>
      <c r="B96" t="s">
        <v>255</v>
      </c>
      <c r="C96" t="s">
        <v>10</v>
      </c>
      <c r="D96" t="s">
        <v>11</v>
      </c>
      <c r="E96">
        <v>2989.97</v>
      </c>
      <c r="F96">
        <v>2</v>
      </c>
      <c r="G96">
        <v>870.59</v>
      </c>
      <c r="H96">
        <v>0.2</v>
      </c>
      <c r="I96" t="str">
        <f>VLOOKUP(C96,[1]Sheet!$A:$D,3,FALSE)</f>
        <v>North</v>
      </c>
      <c r="J96" t="str">
        <f>VLOOKUP(C96,[1]Sheet!$A:$D,4,FALSE)</f>
        <v>Consumer</v>
      </c>
      <c r="K96">
        <f t="shared" si="1"/>
        <v>0.29117014551985476</v>
      </c>
    </row>
    <row r="97" spans="1:11" x14ac:dyDescent="0.25">
      <c r="A97" t="s">
        <v>256</v>
      </c>
      <c r="B97" t="s">
        <v>257</v>
      </c>
      <c r="C97" t="s">
        <v>218</v>
      </c>
      <c r="D97" t="s">
        <v>15</v>
      </c>
      <c r="E97">
        <v>3273.41</v>
      </c>
      <c r="F97">
        <v>1</v>
      </c>
      <c r="G97">
        <v>1055.75</v>
      </c>
      <c r="H97">
        <v>0.05</v>
      </c>
      <c r="I97" t="str">
        <f>VLOOKUP(C97,[1]Sheet!$A:$D,3,FALSE)</f>
        <v>South</v>
      </c>
      <c r="J97" t="str">
        <f>VLOOKUP(C97,[1]Sheet!$A:$D,4,FALSE)</f>
        <v>Corporate</v>
      </c>
      <c r="K97">
        <f t="shared" si="1"/>
        <v>0.32252299589724476</v>
      </c>
    </row>
    <row r="98" spans="1:11" x14ac:dyDescent="0.25">
      <c r="A98" t="s">
        <v>258</v>
      </c>
      <c r="B98" t="s">
        <v>259</v>
      </c>
      <c r="C98" t="s">
        <v>260</v>
      </c>
      <c r="D98" t="s">
        <v>11</v>
      </c>
      <c r="E98">
        <v>3015.72</v>
      </c>
      <c r="F98">
        <v>2</v>
      </c>
      <c r="G98">
        <v>896.49</v>
      </c>
      <c r="H98">
        <v>0.15</v>
      </c>
      <c r="I98" t="str">
        <f>VLOOKUP(C98,[1]Sheet!$A:$D,3,FALSE)</f>
        <v>West</v>
      </c>
      <c r="J98" t="str">
        <f>VLOOKUP(C98,[1]Sheet!$A:$D,4,FALSE)</f>
        <v>Corporate</v>
      </c>
      <c r="K98">
        <f t="shared" si="1"/>
        <v>0.29727229318371734</v>
      </c>
    </row>
    <row r="99" spans="1:11" x14ac:dyDescent="0.25">
      <c r="A99" t="s">
        <v>261</v>
      </c>
      <c r="B99" t="s">
        <v>262</v>
      </c>
      <c r="C99" t="s">
        <v>215</v>
      </c>
      <c r="D99" t="s">
        <v>22</v>
      </c>
      <c r="E99">
        <v>1590.05</v>
      </c>
      <c r="F99">
        <v>9</v>
      </c>
      <c r="G99">
        <v>271.51</v>
      </c>
      <c r="H99">
        <v>0.15</v>
      </c>
      <c r="I99" t="str">
        <f>VLOOKUP(C99,[1]Sheet!$A:$D,3,FALSE)</f>
        <v>South</v>
      </c>
      <c r="J99" t="str">
        <f>VLOOKUP(C99,[1]Sheet!$A:$D,4,FALSE)</f>
        <v>Corporate</v>
      </c>
      <c r="K99">
        <f t="shared" si="1"/>
        <v>0.17075563661520077</v>
      </c>
    </row>
    <row r="100" spans="1:11" x14ac:dyDescent="0.25">
      <c r="A100" t="s">
        <v>263</v>
      </c>
      <c r="B100" t="s">
        <v>264</v>
      </c>
      <c r="C100" t="s">
        <v>31</v>
      </c>
      <c r="D100" t="s">
        <v>22</v>
      </c>
      <c r="E100">
        <v>494.17</v>
      </c>
      <c r="F100">
        <v>6</v>
      </c>
      <c r="G100">
        <v>30.62</v>
      </c>
      <c r="H100">
        <v>0.2</v>
      </c>
      <c r="I100" t="str">
        <f>VLOOKUP(C100,[1]Sheet!$A:$D,3,FALSE)</f>
        <v>West</v>
      </c>
      <c r="J100" t="str">
        <f>VLOOKUP(C100,[1]Sheet!$A:$D,4,FALSE)</f>
        <v>Consumer</v>
      </c>
      <c r="K100">
        <f t="shared" si="1"/>
        <v>6.1962482546492101E-2</v>
      </c>
    </row>
    <row r="101" spans="1:11" x14ac:dyDescent="0.25">
      <c r="A101" t="s">
        <v>265</v>
      </c>
      <c r="B101" t="s">
        <v>266</v>
      </c>
      <c r="C101" t="s">
        <v>267</v>
      </c>
      <c r="D101" t="s">
        <v>22</v>
      </c>
      <c r="E101">
        <v>226.74</v>
      </c>
      <c r="F101">
        <v>10</v>
      </c>
      <c r="G101">
        <v>26.91</v>
      </c>
      <c r="H101">
        <v>0</v>
      </c>
      <c r="I101" t="str">
        <f>VLOOKUP(C101,[1]Sheet!$A:$D,3,FALSE)</f>
        <v>East</v>
      </c>
      <c r="J101" t="str">
        <f>VLOOKUP(C101,[1]Sheet!$A:$D,4,FALSE)</f>
        <v>Consumer</v>
      </c>
      <c r="K101">
        <f t="shared" si="1"/>
        <v>0.11868219105583487</v>
      </c>
    </row>
    <row r="102" spans="1:11" x14ac:dyDescent="0.25">
      <c r="A102" t="s">
        <v>268</v>
      </c>
      <c r="B102" t="s">
        <v>269</v>
      </c>
      <c r="C102" t="s">
        <v>227</v>
      </c>
      <c r="D102" t="s">
        <v>15</v>
      </c>
      <c r="E102">
        <v>3394.18</v>
      </c>
      <c r="F102">
        <v>8</v>
      </c>
      <c r="G102">
        <v>444.14</v>
      </c>
      <c r="H102">
        <v>0.2</v>
      </c>
      <c r="I102" t="str">
        <f>VLOOKUP(C102,[1]Sheet!$A:$D,3,FALSE)</f>
        <v>South</v>
      </c>
      <c r="J102" t="str">
        <f>VLOOKUP(C102,[1]Sheet!$A:$D,4,FALSE)</f>
        <v>Home Office</v>
      </c>
      <c r="K102">
        <f t="shared" si="1"/>
        <v>0.13085340199989393</v>
      </c>
    </row>
    <row r="103" spans="1:11" x14ac:dyDescent="0.25">
      <c r="A103" t="s">
        <v>270</v>
      </c>
      <c r="B103" t="s">
        <v>159</v>
      </c>
      <c r="C103" t="s">
        <v>271</v>
      </c>
      <c r="D103" t="s">
        <v>11</v>
      </c>
      <c r="E103">
        <v>2266.92</v>
      </c>
      <c r="F103">
        <v>8</v>
      </c>
      <c r="G103">
        <v>302.51</v>
      </c>
      <c r="H103">
        <v>0</v>
      </c>
      <c r="I103" t="str">
        <f>VLOOKUP(C103,[1]Sheet!$A:$D,3,FALSE)</f>
        <v>South</v>
      </c>
      <c r="J103" t="str">
        <f>VLOOKUP(C103,[1]Sheet!$A:$D,4,FALSE)</f>
        <v>Home Office</v>
      </c>
      <c r="K103">
        <f t="shared" si="1"/>
        <v>0.13344537963404091</v>
      </c>
    </row>
    <row r="104" spans="1:11" x14ac:dyDescent="0.25">
      <c r="A104" t="s">
        <v>272</v>
      </c>
      <c r="B104" t="s">
        <v>273</v>
      </c>
      <c r="C104" t="s">
        <v>18</v>
      </c>
      <c r="D104" t="s">
        <v>15</v>
      </c>
      <c r="E104">
        <v>1805.01</v>
      </c>
      <c r="F104">
        <v>3</v>
      </c>
      <c r="G104">
        <v>270.74</v>
      </c>
      <c r="H104">
        <v>0.1</v>
      </c>
      <c r="I104" t="str">
        <f>VLOOKUP(C104,[1]Sheet!$A:$D,3,FALSE)</f>
        <v>West</v>
      </c>
      <c r="J104" t="str">
        <f>VLOOKUP(C104,[1]Sheet!$A:$D,4,FALSE)</f>
        <v>Home Office</v>
      </c>
      <c r="K104">
        <f t="shared" si="1"/>
        <v>0.14999362884416154</v>
      </c>
    </row>
    <row r="105" spans="1:11" x14ac:dyDescent="0.25">
      <c r="A105" t="s">
        <v>274</v>
      </c>
      <c r="B105" t="s">
        <v>275</v>
      </c>
      <c r="C105" t="s">
        <v>251</v>
      </c>
      <c r="D105" t="s">
        <v>22</v>
      </c>
      <c r="E105">
        <v>3499</v>
      </c>
      <c r="F105">
        <v>1</v>
      </c>
      <c r="G105">
        <v>477.49</v>
      </c>
      <c r="H105">
        <v>0.15</v>
      </c>
      <c r="I105" t="str">
        <f>VLOOKUP(C105,[1]Sheet!$A:$D,3,FALSE)</f>
        <v>East</v>
      </c>
      <c r="J105" t="str">
        <f>VLOOKUP(C105,[1]Sheet!$A:$D,4,FALSE)</f>
        <v>Home Office</v>
      </c>
      <c r="K105">
        <f t="shared" si="1"/>
        <v>0.13646470420120035</v>
      </c>
    </row>
    <row r="106" spans="1:11" x14ac:dyDescent="0.25">
      <c r="A106" t="s">
        <v>276</v>
      </c>
      <c r="B106" t="s">
        <v>277</v>
      </c>
      <c r="C106" t="s">
        <v>34</v>
      </c>
      <c r="D106" t="s">
        <v>22</v>
      </c>
      <c r="E106">
        <v>1641.13</v>
      </c>
      <c r="F106">
        <v>1</v>
      </c>
      <c r="G106">
        <v>241.22</v>
      </c>
      <c r="H106">
        <v>0.2</v>
      </c>
      <c r="I106" t="str">
        <f>VLOOKUP(C106,[1]Sheet!$A:$D,3,FALSE)</f>
        <v>West</v>
      </c>
      <c r="J106" t="str">
        <f>VLOOKUP(C106,[1]Sheet!$A:$D,4,FALSE)</f>
        <v>Home Office</v>
      </c>
      <c r="K106">
        <f t="shared" si="1"/>
        <v>0.1469840902305119</v>
      </c>
    </row>
    <row r="107" spans="1:11" x14ac:dyDescent="0.25">
      <c r="A107" t="s">
        <v>278</v>
      </c>
      <c r="B107" t="s">
        <v>279</v>
      </c>
      <c r="C107" t="s">
        <v>146</v>
      </c>
      <c r="D107" t="s">
        <v>22</v>
      </c>
      <c r="E107">
        <v>2124.91</v>
      </c>
      <c r="F107">
        <v>8</v>
      </c>
      <c r="G107">
        <v>225.82</v>
      </c>
      <c r="H107">
        <v>0.15</v>
      </c>
      <c r="I107" t="str">
        <f>VLOOKUP(C107,[1]Sheet!$A:$D,3,FALSE)</f>
        <v>South</v>
      </c>
      <c r="J107" t="str">
        <f>VLOOKUP(C107,[1]Sheet!$A:$D,4,FALSE)</f>
        <v>Home Office</v>
      </c>
      <c r="K107">
        <f t="shared" si="1"/>
        <v>0.10627273625706501</v>
      </c>
    </row>
    <row r="108" spans="1:11" x14ac:dyDescent="0.25">
      <c r="A108" t="s">
        <v>280</v>
      </c>
      <c r="B108" t="s">
        <v>281</v>
      </c>
      <c r="C108" t="s">
        <v>227</v>
      </c>
      <c r="D108" t="s">
        <v>11</v>
      </c>
      <c r="E108">
        <v>352.9</v>
      </c>
      <c r="F108">
        <v>8</v>
      </c>
      <c r="G108">
        <v>45.92</v>
      </c>
      <c r="H108">
        <v>0.15</v>
      </c>
      <c r="I108" t="str">
        <f>VLOOKUP(C108,[1]Sheet!$A:$D,3,FALSE)</f>
        <v>South</v>
      </c>
      <c r="J108" t="str">
        <f>VLOOKUP(C108,[1]Sheet!$A:$D,4,FALSE)</f>
        <v>Home Office</v>
      </c>
      <c r="K108">
        <f t="shared" si="1"/>
        <v>0.1301218475488807</v>
      </c>
    </row>
    <row r="109" spans="1:11" x14ac:dyDescent="0.25">
      <c r="A109" t="s">
        <v>282</v>
      </c>
      <c r="B109" t="s">
        <v>56</v>
      </c>
      <c r="C109" t="s">
        <v>193</v>
      </c>
      <c r="D109" t="s">
        <v>22</v>
      </c>
      <c r="E109">
        <v>241.46</v>
      </c>
      <c r="F109">
        <v>3</v>
      </c>
      <c r="G109">
        <v>57.71</v>
      </c>
      <c r="H109">
        <v>0.1</v>
      </c>
      <c r="I109" t="str">
        <f>VLOOKUP(C109,[1]Sheet!$A:$D,3,FALSE)</f>
        <v>East</v>
      </c>
      <c r="J109" t="str">
        <f>VLOOKUP(C109,[1]Sheet!$A:$D,4,FALSE)</f>
        <v>Consumer</v>
      </c>
      <c r="K109">
        <f t="shared" si="1"/>
        <v>0.23900438996107015</v>
      </c>
    </row>
    <row r="110" spans="1:11" x14ac:dyDescent="0.25">
      <c r="A110" t="s">
        <v>283</v>
      </c>
      <c r="B110" t="s">
        <v>284</v>
      </c>
      <c r="C110" t="s">
        <v>221</v>
      </c>
      <c r="D110" t="s">
        <v>15</v>
      </c>
      <c r="E110">
        <v>167</v>
      </c>
      <c r="F110">
        <v>8</v>
      </c>
      <c r="G110">
        <v>28.79</v>
      </c>
      <c r="H110">
        <v>0</v>
      </c>
      <c r="I110" t="str">
        <f>VLOOKUP(C110,[1]Sheet!$A:$D,3,FALSE)</f>
        <v>South</v>
      </c>
      <c r="J110" t="str">
        <f>VLOOKUP(C110,[1]Sheet!$A:$D,4,FALSE)</f>
        <v>Corporate</v>
      </c>
      <c r="K110">
        <f t="shared" si="1"/>
        <v>0.17239520958083832</v>
      </c>
    </row>
    <row r="111" spans="1:11" x14ac:dyDescent="0.25">
      <c r="A111" t="s">
        <v>285</v>
      </c>
      <c r="B111" t="s">
        <v>250</v>
      </c>
      <c r="C111" t="s">
        <v>286</v>
      </c>
      <c r="D111" t="s">
        <v>22</v>
      </c>
      <c r="E111">
        <v>4177.5</v>
      </c>
      <c r="F111">
        <v>5</v>
      </c>
      <c r="G111">
        <v>833.46</v>
      </c>
      <c r="H111">
        <v>0.15</v>
      </c>
      <c r="I111" t="str">
        <f>VLOOKUP(C111,[1]Sheet!$A:$D,3,FALSE)</f>
        <v>South</v>
      </c>
      <c r="J111" t="str">
        <f>VLOOKUP(C111,[1]Sheet!$A:$D,4,FALSE)</f>
        <v>Consumer</v>
      </c>
      <c r="K111">
        <f t="shared" si="1"/>
        <v>0.19951166965888689</v>
      </c>
    </row>
    <row r="112" spans="1:11" x14ac:dyDescent="0.25">
      <c r="A112" t="s">
        <v>287</v>
      </c>
      <c r="B112" t="s">
        <v>248</v>
      </c>
      <c r="C112" t="s">
        <v>238</v>
      </c>
      <c r="D112" t="s">
        <v>15</v>
      </c>
      <c r="E112">
        <v>4903.2</v>
      </c>
      <c r="F112">
        <v>7</v>
      </c>
      <c r="G112">
        <v>603.67999999999995</v>
      </c>
      <c r="H112">
        <v>0.05</v>
      </c>
      <c r="I112" t="str">
        <f>VLOOKUP(C112,[1]Sheet!$A:$D,3,FALSE)</f>
        <v>North</v>
      </c>
      <c r="J112" t="str">
        <f>VLOOKUP(C112,[1]Sheet!$A:$D,4,FALSE)</f>
        <v>Corporate</v>
      </c>
      <c r="K112">
        <f t="shared" si="1"/>
        <v>0.1231195953662914</v>
      </c>
    </row>
    <row r="113" spans="1:11" x14ac:dyDescent="0.25">
      <c r="A113" t="s">
        <v>288</v>
      </c>
      <c r="B113" t="s">
        <v>289</v>
      </c>
      <c r="C113" t="s">
        <v>230</v>
      </c>
      <c r="D113" t="s">
        <v>11</v>
      </c>
      <c r="E113">
        <v>2590.38</v>
      </c>
      <c r="F113">
        <v>7</v>
      </c>
      <c r="G113">
        <v>812.86</v>
      </c>
      <c r="H113">
        <v>0.1</v>
      </c>
      <c r="I113" t="str">
        <f>VLOOKUP(C113,[1]Sheet!$A:$D,3,FALSE)</f>
        <v>South</v>
      </c>
      <c r="J113" t="str">
        <f>VLOOKUP(C113,[1]Sheet!$A:$D,4,FALSE)</f>
        <v>Consumer</v>
      </c>
      <c r="K113">
        <f t="shared" si="1"/>
        <v>0.31379951976157938</v>
      </c>
    </row>
    <row r="114" spans="1:11" x14ac:dyDescent="0.25">
      <c r="A114" t="s">
        <v>290</v>
      </c>
      <c r="B114" t="s">
        <v>161</v>
      </c>
      <c r="C114" t="s">
        <v>291</v>
      </c>
      <c r="D114" t="s">
        <v>22</v>
      </c>
      <c r="E114">
        <v>1409.15</v>
      </c>
      <c r="F114">
        <v>10</v>
      </c>
      <c r="G114">
        <v>71.540000000000006</v>
      </c>
      <c r="H114">
        <v>0.15</v>
      </c>
      <c r="I114" t="str">
        <f>VLOOKUP(C114,[1]Sheet!$A:$D,3,FALSE)</f>
        <v>East</v>
      </c>
      <c r="J114" t="str">
        <f>VLOOKUP(C114,[1]Sheet!$A:$D,4,FALSE)</f>
        <v>Home Office</v>
      </c>
      <c r="K114">
        <f t="shared" si="1"/>
        <v>5.076819359188163E-2</v>
      </c>
    </row>
    <row r="115" spans="1:11" x14ac:dyDescent="0.25">
      <c r="A115" t="s">
        <v>292</v>
      </c>
      <c r="B115" t="s">
        <v>293</v>
      </c>
      <c r="C115" t="s">
        <v>43</v>
      </c>
      <c r="D115" t="s">
        <v>22</v>
      </c>
      <c r="E115">
        <v>2288.08</v>
      </c>
      <c r="F115">
        <v>9</v>
      </c>
      <c r="G115">
        <v>446.87</v>
      </c>
      <c r="H115">
        <v>0.15</v>
      </c>
      <c r="I115" t="str">
        <f>VLOOKUP(C115,[1]Sheet!$A:$D,3,FALSE)</f>
        <v>East</v>
      </c>
      <c r="J115" t="str">
        <f>VLOOKUP(C115,[1]Sheet!$A:$D,4,FALSE)</f>
        <v>Corporate</v>
      </c>
      <c r="K115">
        <f t="shared" si="1"/>
        <v>0.19530348589210167</v>
      </c>
    </row>
    <row r="116" spans="1:11" x14ac:dyDescent="0.25">
      <c r="A116" t="s">
        <v>294</v>
      </c>
      <c r="B116" t="s">
        <v>295</v>
      </c>
      <c r="C116" t="s">
        <v>102</v>
      </c>
      <c r="D116" t="s">
        <v>15</v>
      </c>
      <c r="E116">
        <v>4670.9799999999996</v>
      </c>
      <c r="F116">
        <v>10</v>
      </c>
      <c r="G116">
        <v>1452.12</v>
      </c>
      <c r="H116">
        <v>0.15</v>
      </c>
      <c r="I116" t="str">
        <f>VLOOKUP(C116,[1]Sheet!$A:$D,3,FALSE)</f>
        <v>South</v>
      </c>
      <c r="J116" t="str">
        <f>VLOOKUP(C116,[1]Sheet!$A:$D,4,FALSE)</f>
        <v>Home Office</v>
      </c>
      <c r="K116">
        <f t="shared" si="1"/>
        <v>0.31088122835036758</v>
      </c>
    </row>
    <row r="117" spans="1:11" x14ac:dyDescent="0.25">
      <c r="A117" t="s">
        <v>296</v>
      </c>
      <c r="B117" t="s">
        <v>297</v>
      </c>
      <c r="C117" t="s">
        <v>298</v>
      </c>
      <c r="D117" t="s">
        <v>22</v>
      </c>
      <c r="E117">
        <v>4294.46</v>
      </c>
      <c r="F117">
        <v>8</v>
      </c>
      <c r="G117">
        <v>743.94</v>
      </c>
      <c r="H117">
        <v>0.15</v>
      </c>
      <c r="I117" t="str">
        <f>VLOOKUP(C117,[1]Sheet!$A:$D,3,FALSE)</f>
        <v>North</v>
      </c>
      <c r="J117" t="str">
        <f>VLOOKUP(C117,[1]Sheet!$A:$D,4,FALSE)</f>
        <v>Consumer</v>
      </c>
      <c r="K117">
        <f t="shared" si="1"/>
        <v>0.17323249023160073</v>
      </c>
    </row>
    <row r="118" spans="1:11" x14ac:dyDescent="0.25">
      <c r="A118" t="s">
        <v>299</v>
      </c>
      <c r="B118" t="s">
        <v>300</v>
      </c>
      <c r="C118" t="s">
        <v>301</v>
      </c>
      <c r="D118" t="s">
        <v>15</v>
      </c>
      <c r="E118">
        <v>4943.2299999999996</v>
      </c>
      <c r="F118">
        <v>8</v>
      </c>
      <c r="G118">
        <v>1422.26</v>
      </c>
      <c r="H118">
        <v>0</v>
      </c>
      <c r="I118" t="str">
        <f>VLOOKUP(C118,[1]Sheet!$A:$D,3,FALSE)</f>
        <v>West</v>
      </c>
      <c r="J118" t="str">
        <f>VLOOKUP(C118,[1]Sheet!$A:$D,4,FALSE)</f>
        <v>Consumer</v>
      </c>
      <c r="K118">
        <f t="shared" si="1"/>
        <v>0.28771875878727071</v>
      </c>
    </row>
    <row r="119" spans="1:11" x14ac:dyDescent="0.25">
      <c r="A119" t="s">
        <v>302</v>
      </c>
      <c r="B119" t="s">
        <v>303</v>
      </c>
      <c r="C119" t="s">
        <v>184</v>
      </c>
      <c r="D119" t="s">
        <v>11</v>
      </c>
      <c r="E119">
        <v>2561.23</v>
      </c>
      <c r="F119">
        <v>2</v>
      </c>
      <c r="G119">
        <v>581.54</v>
      </c>
      <c r="H119">
        <v>0.2</v>
      </c>
      <c r="I119" t="str">
        <f>VLOOKUP(C119,[1]Sheet!$A:$D,3,FALSE)</f>
        <v>South</v>
      </c>
      <c r="J119" t="str">
        <f>VLOOKUP(C119,[1]Sheet!$A:$D,4,FALSE)</f>
        <v>Corporate</v>
      </c>
      <c r="K119">
        <f t="shared" si="1"/>
        <v>0.22705496968253533</v>
      </c>
    </row>
    <row r="120" spans="1:11" x14ac:dyDescent="0.25">
      <c r="A120" t="s">
        <v>304</v>
      </c>
      <c r="B120" t="s">
        <v>305</v>
      </c>
      <c r="C120" t="s">
        <v>102</v>
      </c>
      <c r="D120" t="s">
        <v>15</v>
      </c>
      <c r="E120">
        <v>175.2</v>
      </c>
      <c r="F120">
        <v>2</v>
      </c>
      <c r="G120">
        <v>16.34</v>
      </c>
      <c r="H120">
        <v>0.15</v>
      </c>
      <c r="I120" t="str">
        <f>VLOOKUP(C120,[1]Sheet!$A:$D,3,FALSE)</f>
        <v>South</v>
      </c>
      <c r="J120" t="str">
        <f>VLOOKUP(C120,[1]Sheet!$A:$D,4,FALSE)</f>
        <v>Home Office</v>
      </c>
      <c r="K120">
        <f t="shared" si="1"/>
        <v>9.3264840182648412E-2</v>
      </c>
    </row>
    <row r="121" spans="1:11" x14ac:dyDescent="0.25">
      <c r="A121" t="s">
        <v>306</v>
      </c>
      <c r="B121" t="s">
        <v>307</v>
      </c>
      <c r="C121" t="s">
        <v>40</v>
      </c>
      <c r="D121" t="s">
        <v>15</v>
      </c>
      <c r="E121">
        <v>1758.95</v>
      </c>
      <c r="F121">
        <v>6</v>
      </c>
      <c r="G121">
        <v>453.48</v>
      </c>
      <c r="H121">
        <v>0.2</v>
      </c>
      <c r="I121" t="str">
        <f>VLOOKUP(C121,[1]Sheet!$A:$D,3,FALSE)</f>
        <v>East</v>
      </c>
      <c r="J121" t="str">
        <f>VLOOKUP(C121,[1]Sheet!$A:$D,4,FALSE)</f>
        <v>Corporate</v>
      </c>
      <c r="K121">
        <f t="shared" si="1"/>
        <v>0.25781289974132293</v>
      </c>
    </row>
    <row r="122" spans="1:11" x14ac:dyDescent="0.25">
      <c r="A122" t="s">
        <v>308</v>
      </c>
      <c r="B122" t="s">
        <v>309</v>
      </c>
      <c r="C122" t="s">
        <v>162</v>
      </c>
      <c r="D122" t="s">
        <v>22</v>
      </c>
      <c r="E122">
        <v>4775.28</v>
      </c>
      <c r="F122">
        <v>1</v>
      </c>
      <c r="G122">
        <v>1136.71</v>
      </c>
      <c r="H122">
        <v>0.2</v>
      </c>
      <c r="I122" t="str">
        <f>VLOOKUP(C122,[1]Sheet!$A:$D,3,FALSE)</f>
        <v>West</v>
      </c>
      <c r="J122" t="str">
        <f>VLOOKUP(C122,[1]Sheet!$A:$D,4,FALSE)</f>
        <v>Corporate</v>
      </c>
      <c r="K122">
        <f t="shared" si="1"/>
        <v>0.23804049186644555</v>
      </c>
    </row>
    <row r="123" spans="1:11" x14ac:dyDescent="0.25">
      <c r="A123" t="s">
        <v>310</v>
      </c>
      <c r="B123" t="s">
        <v>259</v>
      </c>
      <c r="C123" t="s">
        <v>311</v>
      </c>
      <c r="D123" t="s">
        <v>15</v>
      </c>
      <c r="E123">
        <v>1250.3699999999999</v>
      </c>
      <c r="F123">
        <v>2</v>
      </c>
      <c r="G123">
        <v>319.24</v>
      </c>
      <c r="H123">
        <v>0.15</v>
      </c>
      <c r="I123" t="str">
        <f>VLOOKUP(C123,[1]Sheet!$A:$D,3,FALSE)</f>
        <v>North</v>
      </c>
      <c r="J123" t="str">
        <f>VLOOKUP(C123,[1]Sheet!$A:$D,4,FALSE)</f>
        <v>Home Office</v>
      </c>
      <c r="K123">
        <f t="shared" si="1"/>
        <v>0.25531642633780405</v>
      </c>
    </row>
    <row r="124" spans="1:11" x14ac:dyDescent="0.25">
      <c r="A124" t="s">
        <v>312</v>
      </c>
      <c r="B124" t="s">
        <v>303</v>
      </c>
      <c r="C124" t="s">
        <v>313</v>
      </c>
      <c r="D124" t="s">
        <v>11</v>
      </c>
      <c r="E124">
        <v>3825.81</v>
      </c>
      <c r="F124">
        <v>3</v>
      </c>
      <c r="G124">
        <v>999.18</v>
      </c>
      <c r="H124">
        <v>0.1</v>
      </c>
      <c r="I124" t="str">
        <f>VLOOKUP(C124,[1]Sheet!$A:$D,3,FALSE)</f>
        <v>East</v>
      </c>
      <c r="J124" t="str">
        <f>VLOOKUP(C124,[1]Sheet!$A:$D,4,FALSE)</f>
        <v>Consumer</v>
      </c>
      <c r="K124">
        <f t="shared" si="1"/>
        <v>0.26116822319979299</v>
      </c>
    </row>
    <row r="125" spans="1:11" x14ac:dyDescent="0.25">
      <c r="A125" t="s">
        <v>314</v>
      </c>
      <c r="B125" t="s">
        <v>315</v>
      </c>
      <c r="C125" t="s">
        <v>97</v>
      </c>
      <c r="D125" t="s">
        <v>11</v>
      </c>
      <c r="E125">
        <v>325.36</v>
      </c>
      <c r="F125">
        <v>6</v>
      </c>
      <c r="G125">
        <v>93.98</v>
      </c>
      <c r="H125">
        <v>0.15</v>
      </c>
      <c r="I125" t="str">
        <f>VLOOKUP(C125,[1]Sheet!$A:$D,3,FALSE)</f>
        <v>North</v>
      </c>
      <c r="J125" t="str">
        <f>VLOOKUP(C125,[1]Sheet!$A:$D,4,FALSE)</f>
        <v>Home Office</v>
      </c>
      <c r="K125">
        <f t="shared" si="1"/>
        <v>0.2888492746496189</v>
      </c>
    </row>
    <row r="126" spans="1:11" x14ac:dyDescent="0.25">
      <c r="A126" t="s">
        <v>316</v>
      </c>
      <c r="B126" t="s">
        <v>317</v>
      </c>
      <c r="C126" t="s">
        <v>318</v>
      </c>
      <c r="D126" t="s">
        <v>15</v>
      </c>
      <c r="E126">
        <v>1296.57</v>
      </c>
      <c r="F126">
        <v>3</v>
      </c>
      <c r="G126">
        <v>225.1</v>
      </c>
      <c r="H126">
        <v>0.05</v>
      </c>
      <c r="I126" t="str">
        <f>VLOOKUP(C126,[1]Sheet!$A:$D,3,FALSE)</f>
        <v>West</v>
      </c>
      <c r="J126" t="str">
        <f>VLOOKUP(C126,[1]Sheet!$A:$D,4,FALSE)</f>
        <v>Consumer</v>
      </c>
      <c r="K126">
        <f t="shared" si="1"/>
        <v>0.17361191451290714</v>
      </c>
    </row>
    <row r="127" spans="1:11" x14ac:dyDescent="0.25">
      <c r="A127" t="s">
        <v>319</v>
      </c>
      <c r="B127" t="s">
        <v>317</v>
      </c>
      <c r="C127" t="s">
        <v>320</v>
      </c>
      <c r="D127" t="s">
        <v>15</v>
      </c>
      <c r="E127">
        <v>3086.51</v>
      </c>
      <c r="F127">
        <v>8</v>
      </c>
      <c r="G127">
        <v>508.54</v>
      </c>
      <c r="H127">
        <v>0.2</v>
      </c>
      <c r="I127" t="str">
        <f>VLOOKUP(C127,[1]Sheet!$A:$D,3,FALSE)</f>
        <v>West</v>
      </c>
      <c r="J127" t="str">
        <f>VLOOKUP(C127,[1]Sheet!$A:$D,4,FALSE)</f>
        <v>Consumer</v>
      </c>
      <c r="K127">
        <f t="shared" si="1"/>
        <v>0.16476214235495754</v>
      </c>
    </row>
    <row r="128" spans="1:11" x14ac:dyDescent="0.25">
      <c r="A128" t="s">
        <v>321</v>
      </c>
      <c r="B128" t="s">
        <v>197</v>
      </c>
      <c r="C128" t="s">
        <v>318</v>
      </c>
      <c r="D128" t="s">
        <v>11</v>
      </c>
      <c r="E128">
        <v>1237.72</v>
      </c>
      <c r="F128">
        <v>1</v>
      </c>
      <c r="G128">
        <v>298.75</v>
      </c>
      <c r="H128">
        <v>0.15</v>
      </c>
      <c r="I128" t="str">
        <f>VLOOKUP(C128,[1]Sheet!$A:$D,3,FALSE)</f>
        <v>West</v>
      </c>
      <c r="J128" t="str">
        <f>VLOOKUP(C128,[1]Sheet!$A:$D,4,FALSE)</f>
        <v>Consumer</v>
      </c>
      <c r="K128">
        <f t="shared" si="1"/>
        <v>0.24137123097307953</v>
      </c>
    </row>
    <row r="129" spans="1:11" x14ac:dyDescent="0.25">
      <c r="A129" t="s">
        <v>322</v>
      </c>
      <c r="B129" t="s">
        <v>323</v>
      </c>
      <c r="C129" t="s">
        <v>324</v>
      </c>
      <c r="D129" t="s">
        <v>11</v>
      </c>
      <c r="E129">
        <v>3420.29</v>
      </c>
      <c r="F129">
        <v>10</v>
      </c>
      <c r="G129">
        <v>333.11</v>
      </c>
      <c r="H129">
        <v>0.1</v>
      </c>
      <c r="I129" t="str">
        <f>VLOOKUP(C129,[1]Sheet!$A:$D,3,FALSE)</f>
        <v>North</v>
      </c>
      <c r="J129" t="str">
        <f>VLOOKUP(C129,[1]Sheet!$A:$D,4,FALSE)</f>
        <v>Home Office</v>
      </c>
      <c r="K129">
        <f t="shared" si="1"/>
        <v>9.7392326381681091E-2</v>
      </c>
    </row>
    <row r="130" spans="1:11" x14ac:dyDescent="0.25">
      <c r="A130" t="s">
        <v>325</v>
      </c>
      <c r="B130" t="s">
        <v>326</v>
      </c>
      <c r="C130" t="s">
        <v>79</v>
      </c>
      <c r="D130" t="s">
        <v>11</v>
      </c>
      <c r="E130">
        <v>4813.9399999999996</v>
      </c>
      <c r="F130">
        <v>4</v>
      </c>
      <c r="G130">
        <v>1237.6400000000001</v>
      </c>
      <c r="H130">
        <v>0.15</v>
      </c>
      <c r="I130" t="str">
        <f>VLOOKUP(C130,[1]Sheet!$A:$D,3,FALSE)</f>
        <v>East</v>
      </c>
      <c r="J130" t="str">
        <f>VLOOKUP(C130,[1]Sheet!$A:$D,4,FALSE)</f>
        <v>Corporate</v>
      </c>
      <c r="K130">
        <f t="shared" si="1"/>
        <v>0.25709501987976591</v>
      </c>
    </row>
    <row r="131" spans="1:11" x14ac:dyDescent="0.25">
      <c r="A131" t="s">
        <v>327</v>
      </c>
      <c r="B131" t="s">
        <v>328</v>
      </c>
      <c r="C131" t="s">
        <v>238</v>
      </c>
      <c r="D131" t="s">
        <v>22</v>
      </c>
      <c r="E131">
        <v>622.6</v>
      </c>
      <c r="F131">
        <v>5</v>
      </c>
      <c r="G131">
        <v>102.36</v>
      </c>
      <c r="H131">
        <v>0.1</v>
      </c>
      <c r="I131" t="str">
        <f>VLOOKUP(C131,[1]Sheet!$A:$D,3,FALSE)</f>
        <v>North</v>
      </c>
      <c r="J131" t="str">
        <f>VLOOKUP(C131,[1]Sheet!$A:$D,4,FALSE)</f>
        <v>Corporate</v>
      </c>
      <c r="K131">
        <f t="shared" ref="K131:K194" si="2">G131/E131</f>
        <v>0.1644073241246386</v>
      </c>
    </row>
    <row r="132" spans="1:11" x14ac:dyDescent="0.25">
      <c r="A132" t="s">
        <v>329</v>
      </c>
      <c r="B132" t="s">
        <v>330</v>
      </c>
      <c r="C132" t="s">
        <v>331</v>
      </c>
      <c r="D132" t="s">
        <v>15</v>
      </c>
      <c r="E132">
        <v>4891.93</v>
      </c>
      <c r="F132">
        <v>10</v>
      </c>
      <c r="G132">
        <v>1210.5999999999999</v>
      </c>
      <c r="H132">
        <v>0</v>
      </c>
      <c r="I132" t="str">
        <f>VLOOKUP(C132,[1]Sheet!$A:$D,3,FALSE)</f>
        <v>South</v>
      </c>
      <c r="J132" t="str">
        <f>VLOOKUP(C132,[1]Sheet!$A:$D,4,FALSE)</f>
        <v>Consumer</v>
      </c>
      <c r="K132">
        <f t="shared" si="2"/>
        <v>0.24746879043649436</v>
      </c>
    </row>
    <row r="133" spans="1:11" x14ac:dyDescent="0.25">
      <c r="A133" t="s">
        <v>332</v>
      </c>
      <c r="B133" t="s">
        <v>39</v>
      </c>
      <c r="C133" t="s">
        <v>333</v>
      </c>
      <c r="D133" t="s">
        <v>15</v>
      </c>
      <c r="E133">
        <v>3751.34</v>
      </c>
      <c r="F133">
        <v>10</v>
      </c>
      <c r="G133">
        <v>1124.8499999999999</v>
      </c>
      <c r="H133">
        <v>0.1</v>
      </c>
      <c r="I133" t="str">
        <f>VLOOKUP(C133,[1]Sheet!$A:$D,3,FALSE)</f>
        <v>East</v>
      </c>
      <c r="J133" t="str">
        <f>VLOOKUP(C133,[1]Sheet!$A:$D,4,FALSE)</f>
        <v>Consumer</v>
      </c>
      <c r="K133">
        <f t="shared" si="2"/>
        <v>0.29985285258067779</v>
      </c>
    </row>
    <row r="134" spans="1:11" x14ac:dyDescent="0.25">
      <c r="A134" t="s">
        <v>334</v>
      </c>
      <c r="B134" t="s">
        <v>335</v>
      </c>
      <c r="C134" t="s">
        <v>218</v>
      </c>
      <c r="D134" t="s">
        <v>22</v>
      </c>
      <c r="E134">
        <v>3219.43</v>
      </c>
      <c r="F134">
        <v>3</v>
      </c>
      <c r="G134">
        <v>760.65</v>
      </c>
      <c r="H134">
        <v>0</v>
      </c>
      <c r="I134" t="str">
        <f>VLOOKUP(C134,[1]Sheet!$A:$D,3,FALSE)</f>
        <v>South</v>
      </c>
      <c r="J134" t="str">
        <f>VLOOKUP(C134,[1]Sheet!$A:$D,4,FALSE)</f>
        <v>Corporate</v>
      </c>
      <c r="K134">
        <f t="shared" si="2"/>
        <v>0.23626853200721867</v>
      </c>
    </row>
    <row r="135" spans="1:11" x14ac:dyDescent="0.25">
      <c r="A135" t="s">
        <v>336</v>
      </c>
      <c r="B135" t="s">
        <v>337</v>
      </c>
      <c r="C135" t="s">
        <v>10</v>
      </c>
      <c r="D135" t="s">
        <v>15</v>
      </c>
      <c r="E135">
        <v>3267.07</v>
      </c>
      <c r="F135">
        <v>10</v>
      </c>
      <c r="G135">
        <v>466.15</v>
      </c>
      <c r="H135">
        <v>0.1</v>
      </c>
      <c r="I135" t="str">
        <f>VLOOKUP(C135,[1]Sheet!$A:$D,3,FALSE)</f>
        <v>North</v>
      </c>
      <c r="J135" t="str">
        <f>VLOOKUP(C135,[1]Sheet!$A:$D,4,FALSE)</f>
        <v>Consumer</v>
      </c>
      <c r="K135">
        <f t="shared" si="2"/>
        <v>0.14268136281132635</v>
      </c>
    </row>
    <row r="136" spans="1:11" x14ac:dyDescent="0.25">
      <c r="A136" t="s">
        <v>338</v>
      </c>
      <c r="B136" t="s">
        <v>339</v>
      </c>
      <c r="C136" t="s">
        <v>110</v>
      </c>
      <c r="D136" t="s">
        <v>22</v>
      </c>
      <c r="E136">
        <v>743.92</v>
      </c>
      <c r="F136">
        <v>7</v>
      </c>
      <c r="G136">
        <v>240.2</v>
      </c>
      <c r="H136">
        <v>0.05</v>
      </c>
      <c r="I136" t="str">
        <f>VLOOKUP(C136,[1]Sheet!$A:$D,3,FALSE)</f>
        <v>West</v>
      </c>
      <c r="J136" t="str">
        <f>VLOOKUP(C136,[1]Sheet!$A:$D,4,FALSE)</f>
        <v>Consumer</v>
      </c>
      <c r="K136">
        <f t="shared" si="2"/>
        <v>0.32288418109474137</v>
      </c>
    </row>
    <row r="137" spans="1:11" x14ac:dyDescent="0.25">
      <c r="A137" t="s">
        <v>340</v>
      </c>
      <c r="B137" t="s">
        <v>341</v>
      </c>
      <c r="C137" t="s">
        <v>135</v>
      </c>
      <c r="D137" t="s">
        <v>22</v>
      </c>
      <c r="E137">
        <v>747.58</v>
      </c>
      <c r="F137">
        <v>9</v>
      </c>
      <c r="G137">
        <v>158.35</v>
      </c>
      <c r="H137">
        <v>0.1</v>
      </c>
      <c r="I137" t="str">
        <f>VLOOKUP(C137,[1]Sheet!$A:$D,3,FALSE)</f>
        <v>East</v>
      </c>
      <c r="J137" t="str">
        <f>VLOOKUP(C137,[1]Sheet!$A:$D,4,FALSE)</f>
        <v>Home Office</v>
      </c>
      <c r="K137">
        <f t="shared" si="2"/>
        <v>0.21181679552690011</v>
      </c>
    </row>
    <row r="138" spans="1:11" x14ac:dyDescent="0.25">
      <c r="A138" t="s">
        <v>342</v>
      </c>
      <c r="B138" t="s">
        <v>343</v>
      </c>
      <c r="C138" t="s">
        <v>187</v>
      </c>
      <c r="D138" t="s">
        <v>11</v>
      </c>
      <c r="E138">
        <v>1359.15</v>
      </c>
      <c r="F138">
        <v>6</v>
      </c>
      <c r="G138">
        <v>404.22</v>
      </c>
      <c r="H138">
        <v>0</v>
      </c>
      <c r="I138" t="str">
        <f>VLOOKUP(C138,[1]Sheet!$A:$D,3,FALSE)</f>
        <v>West</v>
      </c>
      <c r="J138" t="str">
        <f>VLOOKUP(C138,[1]Sheet!$A:$D,4,FALSE)</f>
        <v>Home Office</v>
      </c>
      <c r="K138">
        <f t="shared" si="2"/>
        <v>0.29740646727734243</v>
      </c>
    </row>
    <row r="139" spans="1:11" x14ac:dyDescent="0.25">
      <c r="A139" t="s">
        <v>344</v>
      </c>
      <c r="B139" t="s">
        <v>284</v>
      </c>
      <c r="C139" t="s">
        <v>146</v>
      </c>
      <c r="D139" t="s">
        <v>22</v>
      </c>
      <c r="E139">
        <v>4818.18</v>
      </c>
      <c r="F139">
        <v>7</v>
      </c>
      <c r="G139">
        <v>444.37</v>
      </c>
      <c r="H139">
        <v>0.2</v>
      </c>
      <c r="I139" t="str">
        <f>VLOOKUP(C139,[1]Sheet!$A:$D,3,FALSE)</f>
        <v>South</v>
      </c>
      <c r="J139" t="str">
        <f>VLOOKUP(C139,[1]Sheet!$A:$D,4,FALSE)</f>
        <v>Home Office</v>
      </c>
      <c r="K139">
        <f t="shared" si="2"/>
        <v>9.2227770651988922E-2</v>
      </c>
    </row>
    <row r="140" spans="1:11" x14ac:dyDescent="0.25">
      <c r="A140" t="s">
        <v>345</v>
      </c>
      <c r="B140" t="s">
        <v>346</v>
      </c>
      <c r="C140" t="s">
        <v>116</v>
      </c>
      <c r="D140" t="s">
        <v>22</v>
      </c>
      <c r="E140">
        <v>542.48</v>
      </c>
      <c r="F140">
        <v>2</v>
      </c>
      <c r="G140">
        <v>91.34</v>
      </c>
      <c r="H140">
        <v>0.15</v>
      </c>
      <c r="I140" t="str">
        <f>VLOOKUP(C140,[1]Sheet!$A:$D,3,FALSE)</f>
        <v>South</v>
      </c>
      <c r="J140" t="str">
        <f>VLOOKUP(C140,[1]Sheet!$A:$D,4,FALSE)</f>
        <v>Home Office</v>
      </c>
      <c r="K140">
        <f t="shared" si="2"/>
        <v>0.16837487096298481</v>
      </c>
    </row>
    <row r="141" spans="1:11" x14ac:dyDescent="0.25">
      <c r="A141" t="s">
        <v>347</v>
      </c>
      <c r="B141" t="s">
        <v>159</v>
      </c>
      <c r="C141" t="s">
        <v>348</v>
      </c>
      <c r="D141" t="s">
        <v>11</v>
      </c>
      <c r="E141">
        <v>3396.86</v>
      </c>
      <c r="F141">
        <v>6</v>
      </c>
      <c r="G141">
        <v>855</v>
      </c>
      <c r="H141">
        <v>0</v>
      </c>
      <c r="I141" t="str">
        <f>VLOOKUP(C141,[1]Sheet!$A:$D,3,FALSE)</f>
        <v>East</v>
      </c>
      <c r="J141" t="str">
        <f>VLOOKUP(C141,[1]Sheet!$A:$D,4,FALSE)</f>
        <v>Consumer</v>
      </c>
      <c r="K141">
        <f t="shared" si="2"/>
        <v>0.2517030433989037</v>
      </c>
    </row>
    <row r="142" spans="1:11" x14ac:dyDescent="0.25">
      <c r="A142" t="s">
        <v>349</v>
      </c>
      <c r="B142" t="s">
        <v>350</v>
      </c>
      <c r="C142" t="s">
        <v>51</v>
      </c>
      <c r="D142" t="s">
        <v>11</v>
      </c>
      <c r="E142">
        <v>1245.73</v>
      </c>
      <c r="F142">
        <v>10</v>
      </c>
      <c r="G142">
        <v>71.64</v>
      </c>
      <c r="H142">
        <v>0.05</v>
      </c>
      <c r="I142" t="str">
        <f>VLOOKUP(C142,[1]Sheet!$A:$D,3,FALSE)</f>
        <v>South</v>
      </c>
      <c r="J142" t="str">
        <f>VLOOKUP(C142,[1]Sheet!$A:$D,4,FALSE)</f>
        <v>Consumer</v>
      </c>
      <c r="K142">
        <f t="shared" si="2"/>
        <v>5.7508448861310235E-2</v>
      </c>
    </row>
    <row r="143" spans="1:11" x14ac:dyDescent="0.25">
      <c r="A143" t="s">
        <v>351</v>
      </c>
      <c r="B143" t="s">
        <v>352</v>
      </c>
      <c r="C143" t="s">
        <v>286</v>
      </c>
      <c r="D143" t="s">
        <v>11</v>
      </c>
      <c r="E143">
        <v>409.76</v>
      </c>
      <c r="F143">
        <v>7</v>
      </c>
      <c r="G143">
        <v>121.76</v>
      </c>
      <c r="H143">
        <v>0</v>
      </c>
      <c r="I143" t="str">
        <f>VLOOKUP(C143,[1]Sheet!$A:$D,3,FALSE)</f>
        <v>South</v>
      </c>
      <c r="J143" t="str">
        <f>VLOOKUP(C143,[1]Sheet!$A:$D,4,FALSE)</f>
        <v>Consumer</v>
      </c>
      <c r="K143">
        <f t="shared" si="2"/>
        <v>0.29714955095665757</v>
      </c>
    </row>
    <row r="144" spans="1:11" x14ac:dyDescent="0.25">
      <c r="A144" t="s">
        <v>353</v>
      </c>
      <c r="B144" t="s">
        <v>354</v>
      </c>
      <c r="C144" t="s">
        <v>355</v>
      </c>
      <c r="D144" t="s">
        <v>15</v>
      </c>
      <c r="E144">
        <v>322.2</v>
      </c>
      <c r="F144">
        <v>2</v>
      </c>
      <c r="G144">
        <v>19.71</v>
      </c>
      <c r="H144">
        <v>0.05</v>
      </c>
      <c r="I144" t="str">
        <f>VLOOKUP(C144,[1]Sheet!$A:$D,3,FALSE)</f>
        <v>North</v>
      </c>
      <c r="J144" t="str">
        <f>VLOOKUP(C144,[1]Sheet!$A:$D,4,FALSE)</f>
        <v>Consumer</v>
      </c>
      <c r="K144">
        <f t="shared" si="2"/>
        <v>6.1173184357541904E-2</v>
      </c>
    </row>
    <row r="145" spans="1:11" x14ac:dyDescent="0.25">
      <c r="A145" t="s">
        <v>356</v>
      </c>
      <c r="B145" t="s">
        <v>273</v>
      </c>
      <c r="C145" t="s">
        <v>28</v>
      </c>
      <c r="D145" t="s">
        <v>22</v>
      </c>
      <c r="E145">
        <v>764.75</v>
      </c>
      <c r="F145">
        <v>9</v>
      </c>
      <c r="G145">
        <v>142.31</v>
      </c>
      <c r="H145">
        <v>0.15</v>
      </c>
      <c r="I145" t="str">
        <f>VLOOKUP(C145,[1]Sheet!$A:$D,3,FALSE)</f>
        <v>East</v>
      </c>
      <c r="J145" t="str">
        <f>VLOOKUP(C145,[1]Sheet!$A:$D,4,FALSE)</f>
        <v>Consumer</v>
      </c>
      <c r="K145">
        <f t="shared" si="2"/>
        <v>0.18608695652173912</v>
      </c>
    </row>
    <row r="146" spans="1:11" x14ac:dyDescent="0.25">
      <c r="A146" t="s">
        <v>357</v>
      </c>
      <c r="B146" t="s">
        <v>358</v>
      </c>
      <c r="C146" t="s">
        <v>359</v>
      </c>
      <c r="D146" t="s">
        <v>22</v>
      </c>
      <c r="E146">
        <v>3737.12</v>
      </c>
      <c r="F146">
        <v>2</v>
      </c>
      <c r="G146">
        <v>360.1</v>
      </c>
      <c r="H146">
        <v>0.15</v>
      </c>
      <c r="I146" t="str">
        <f>VLOOKUP(C146,[1]Sheet!$A:$D,3,FALSE)</f>
        <v>East</v>
      </c>
      <c r="J146" t="str">
        <f>VLOOKUP(C146,[1]Sheet!$A:$D,4,FALSE)</f>
        <v>Home Office</v>
      </c>
      <c r="K146">
        <f t="shared" si="2"/>
        <v>9.6357622982403565E-2</v>
      </c>
    </row>
    <row r="147" spans="1:11" x14ac:dyDescent="0.25">
      <c r="A147" t="s">
        <v>360</v>
      </c>
      <c r="B147" t="s">
        <v>9</v>
      </c>
      <c r="C147" t="s">
        <v>124</v>
      </c>
      <c r="D147" t="s">
        <v>22</v>
      </c>
      <c r="E147">
        <v>2099.77</v>
      </c>
      <c r="F147">
        <v>6</v>
      </c>
      <c r="G147">
        <v>704.38</v>
      </c>
      <c r="H147">
        <v>0.05</v>
      </c>
      <c r="I147" t="str">
        <f>VLOOKUP(C147,[1]Sheet!$A:$D,3,FALSE)</f>
        <v>North</v>
      </c>
      <c r="J147" t="str">
        <f>VLOOKUP(C147,[1]Sheet!$A:$D,4,FALSE)</f>
        <v>Home Office</v>
      </c>
      <c r="K147">
        <f t="shared" si="2"/>
        <v>0.3354557880148778</v>
      </c>
    </row>
    <row r="148" spans="1:11" x14ac:dyDescent="0.25">
      <c r="A148" t="s">
        <v>361</v>
      </c>
      <c r="B148" t="s">
        <v>279</v>
      </c>
      <c r="C148" t="s">
        <v>31</v>
      </c>
      <c r="D148" t="s">
        <v>15</v>
      </c>
      <c r="E148">
        <v>2279.0100000000002</v>
      </c>
      <c r="F148">
        <v>6</v>
      </c>
      <c r="G148">
        <v>275.38</v>
      </c>
      <c r="H148">
        <v>0.2</v>
      </c>
      <c r="I148" t="str">
        <f>VLOOKUP(C148,[1]Sheet!$A:$D,3,FALSE)</f>
        <v>West</v>
      </c>
      <c r="J148" t="str">
        <f>VLOOKUP(C148,[1]Sheet!$A:$D,4,FALSE)</f>
        <v>Consumer</v>
      </c>
      <c r="K148">
        <f t="shared" si="2"/>
        <v>0.12083316878820188</v>
      </c>
    </row>
    <row r="149" spans="1:11" x14ac:dyDescent="0.25">
      <c r="A149" t="s">
        <v>362</v>
      </c>
      <c r="B149" t="s">
        <v>363</v>
      </c>
      <c r="C149" t="s">
        <v>286</v>
      </c>
      <c r="D149" t="s">
        <v>15</v>
      </c>
      <c r="E149">
        <v>1857.5</v>
      </c>
      <c r="F149">
        <v>8</v>
      </c>
      <c r="G149">
        <v>314.74</v>
      </c>
      <c r="H149">
        <v>0</v>
      </c>
      <c r="I149" t="str">
        <f>VLOOKUP(C149,[1]Sheet!$A:$D,3,FALSE)</f>
        <v>South</v>
      </c>
      <c r="J149" t="str">
        <f>VLOOKUP(C149,[1]Sheet!$A:$D,4,FALSE)</f>
        <v>Consumer</v>
      </c>
      <c r="K149">
        <f t="shared" si="2"/>
        <v>0.16944279946164201</v>
      </c>
    </row>
    <row r="150" spans="1:11" x14ac:dyDescent="0.25">
      <c r="A150" t="s">
        <v>364</v>
      </c>
      <c r="B150" t="s">
        <v>180</v>
      </c>
      <c r="C150" t="s">
        <v>21</v>
      </c>
      <c r="D150" t="s">
        <v>15</v>
      </c>
      <c r="E150">
        <v>1139.32</v>
      </c>
      <c r="F150">
        <v>6</v>
      </c>
      <c r="G150">
        <v>275.54000000000002</v>
      </c>
      <c r="H150">
        <v>0.05</v>
      </c>
      <c r="I150" t="str">
        <f>VLOOKUP(C150,[1]Sheet!$A:$D,3,FALSE)</f>
        <v>North</v>
      </c>
      <c r="J150" t="str">
        <f>VLOOKUP(C150,[1]Sheet!$A:$D,4,FALSE)</f>
        <v>Consumer</v>
      </c>
      <c r="K150">
        <f t="shared" si="2"/>
        <v>0.24184601341150866</v>
      </c>
    </row>
    <row r="151" spans="1:11" x14ac:dyDescent="0.25">
      <c r="A151" t="s">
        <v>365</v>
      </c>
      <c r="B151" t="s">
        <v>366</v>
      </c>
      <c r="C151" t="s">
        <v>184</v>
      </c>
      <c r="D151" t="s">
        <v>15</v>
      </c>
      <c r="E151">
        <v>3956.19</v>
      </c>
      <c r="F151">
        <v>10</v>
      </c>
      <c r="G151">
        <v>441.36</v>
      </c>
      <c r="H151">
        <v>0.05</v>
      </c>
      <c r="I151" t="str">
        <f>VLOOKUP(C151,[1]Sheet!$A:$D,3,FALSE)</f>
        <v>South</v>
      </c>
      <c r="J151" t="str">
        <f>VLOOKUP(C151,[1]Sheet!$A:$D,4,FALSE)</f>
        <v>Corporate</v>
      </c>
      <c r="K151">
        <f t="shared" si="2"/>
        <v>0.11156188150720769</v>
      </c>
    </row>
    <row r="152" spans="1:11" x14ac:dyDescent="0.25">
      <c r="A152" t="s">
        <v>367</v>
      </c>
      <c r="B152" t="s">
        <v>368</v>
      </c>
      <c r="C152" t="s">
        <v>298</v>
      </c>
      <c r="D152" t="s">
        <v>15</v>
      </c>
      <c r="E152">
        <v>1709.94</v>
      </c>
      <c r="F152">
        <v>5</v>
      </c>
      <c r="G152">
        <v>161.19</v>
      </c>
      <c r="H152">
        <v>0.05</v>
      </c>
      <c r="I152" t="str">
        <f>VLOOKUP(C152,[1]Sheet!$A:$D,3,FALSE)</f>
        <v>North</v>
      </c>
      <c r="J152" t="str">
        <f>VLOOKUP(C152,[1]Sheet!$A:$D,4,FALSE)</f>
        <v>Consumer</v>
      </c>
      <c r="K152">
        <f t="shared" si="2"/>
        <v>9.4266465490017187E-2</v>
      </c>
    </row>
    <row r="153" spans="1:11" x14ac:dyDescent="0.25">
      <c r="A153" t="s">
        <v>369</v>
      </c>
      <c r="B153" t="s">
        <v>370</v>
      </c>
      <c r="C153" t="s">
        <v>184</v>
      </c>
      <c r="D153" t="s">
        <v>22</v>
      </c>
      <c r="E153">
        <v>2747.06</v>
      </c>
      <c r="F153">
        <v>1</v>
      </c>
      <c r="G153">
        <v>795.42</v>
      </c>
      <c r="H153">
        <v>0.05</v>
      </c>
      <c r="I153" t="str">
        <f>VLOOKUP(C153,[1]Sheet!$A:$D,3,FALSE)</f>
        <v>South</v>
      </c>
      <c r="J153" t="str">
        <f>VLOOKUP(C153,[1]Sheet!$A:$D,4,FALSE)</f>
        <v>Corporate</v>
      </c>
      <c r="K153">
        <f t="shared" si="2"/>
        <v>0.28955319505216487</v>
      </c>
    </row>
    <row r="154" spans="1:11" x14ac:dyDescent="0.25">
      <c r="A154" t="s">
        <v>371</v>
      </c>
      <c r="B154" t="s">
        <v>245</v>
      </c>
      <c r="C154" t="s">
        <v>372</v>
      </c>
      <c r="D154" t="s">
        <v>11</v>
      </c>
      <c r="E154">
        <v>1855.39</v>
      </c>
      <c r="F154">
        <v>1</v>
      </c>
      <c r="G154">
        <v>531.62</v>
      </c>
      <c r="H154">
        <v>0.05</v>
      </c>
      <c r="I154" t="str">
        <f>VLOOKUP(C154,[1]Sheet!$A:$D,3,FALSE)</f>
        <v>East</v>
      </c>
      <c r="J154" t="str">
        <f>VLOOKUP(C154,[1]Sheet!$A:$D,4,FALSE)</f>
        <v>Consumer</v>
      </c>
      <c r="K154">
        <f t="shared" si="2"/>
        <v>0.28652736082440888</v>
      </c>
    </row>
    <row r="155" spans="1:11" x14ac:dyDescent="0.25">
      <c r="A155" t="s">
        <v>373</v>
      </c>
      <c r="B155" t="s">
        <v>374</v>
      </c>
      <c r="C155" t="s">
        <v>40</v>
      </c>
      <c r="D155" t="s">
        <v>15</v>
      </c>
      <c r="E155">
        <v>356.76</v>
      </c>
      <c r="F155">
        <v>2</v>
      </c>
      <c r="G155">
        <v>97.22</v>
      </c>
      <c r="H155">
        <v>0.15</v>
      </c>
      <c r="I155" t="str">
        <f>VLOOKUP(C155,[1]Sheet!$A:$D,3,FALSE)</f>
        <v>East</v>
      </c>
      <c r="J155" t="str">
        <f>VLOOKUP(C155,[1]Sheet!$A:$D,4,FALSE)</f>
        <v>Corporate</v>
      </c>
      <c r="K155">
        <f t="shared" si="2"/>
        <v>0.27250812871398139</v>
      </c>
    </row>
    <row r="156" spans="1:11" x14ac:dyDescent="0.25">
      <c r="A156" t="s">
        <v>375</v>
      </c>
      <c r="B156" t="s">
        <v>24</v>
      </c>
      <c r="C156" t="s">
        <v>151</v>
      </c>
      <c r="D156" t="s">
        <v>11</v>
      </c>
      <c r="E156">
        <v>3912.28</v>
      </c>
      <c r="F156">
        <v>9</v>
      </c>
      <c r="G156">
        <v>797.99</v>
      </c>
      <c r="H156">
        <v>0.05</v>
      </c>
      <c r="I156" t="str">
        <f>VLOOKUP(C156,[1]Sheet!$A:$D,3,FALSE)</f>
        <v>North</v>
      </c>
      <c r="J156" t="str">
        <f>VLOOKUP(C156,[1]Sheet!$A:$D,4,FALSE)</f>
        <v>Consumer</v>
      </c>
      <c r="K156">
        <f t="shared" si="2"/>
        <v>0.20397057470324209</v>
      </c>
    </row>
    <row r="157" spans="1:11" x14ac:dyDescent="0.25">
      <c r="A157" t="s">
        <v>376</v>
      </c>
      <c r="B157" t="s">
        <v>377</v>
      </c>
      <c r="C157" t="s">
        <v>124</v>
      </c>
      <c r="D157" t="s">
        <v>22</v>
      </c>
      <c r="E157">
        <v>312.49</v>
      </c>
      <c r="F157">
        <v>5</v>
      </c>
      <c r="G157">
        <v>89.05</v>
      </c>
      <c r="H157">
        <v>0.15</v>
      </c>
      <c r="I157" t="str">
        <f>VLOOKUP(C157,[1]Sheet!$A:$D,3,FALSE)</f>
        <v>North</v>
      </c>
      <c r="J157" t="str">
        <f>VLOOKUP(C157,[1]Sheet!$A:$D,4,FALSE)</f>
        <v>Home Office</v>
      </c>
      <c r="K157">
        <f t="shared" si="2"/>
        <v>0.28496911901180838</v>
      </c>
    </row>
    <row r="158" spans="1:11" x14ac:dyDescent="0.25">
      <c r="A158" t="s">
        <v>378</v>
      </c>
      <c r="B158" t="s">
        <v>379</v>
      </c>
      <c r="C158" t="s">
        <v>286</v>
      </c>
      <c r="D158" t="s">
        <v>11</v>
      </c>
      <c r="E158">
        <v>4823.7299999999996</v>
      </c>
      <c r="F158">
        <v>7</v>
      </c>
      <c r="G158">
        <v>329.21</v>
      </c>
      <c r="H158">
        <v>0</v>
      </c>
      <c r="I158" t="str">
        <f>VLOOKUP(C158,[1]Sheet!$A:$D,3,FALSE)</f>
        <v>South</v>
      </c>
      <c r="J158" t="str">
        <f>VLOOKUP(C158,[1]Sheet!$A:$D,4,FALSE)</f>
        <v>Consumer</v>
      </c>
      <c r="K158">
        <f t="shared" si="2"/>
        <v>6.8248015539841583E-2</v>
      </c>
    </row>
    <row r="159" spans="1:11" x14ac:dyDescent="0.25">
      <c r="A159" t="s">
        <v>380</v>
      </c>
      <c r="B159" t="s">
        <v>381</v>
      </c>
      <c r="C159" t="s">
        <v>382</v>
      </c>
      <c r="D159" t="s">
        <v>11</v>
      </c>
      <c r="E159">
        <v>3590.77</v>
      </c>
      <c r="F159">
        <v>10</v>
      </c>
      <c r="G159">
        <v>657.36</v>
      </c>
      <c r="H159">
        <v>0.05</v>
      </c>
      <c r="I159" t="str">
        <f>VLOOKUP(C159,[1]Sheet!$A:$D,3,FALSE)</f>
        <v>West</v>
      </c>
      <c r="J159" t="str">
        <f>VLOOKUP(C159,[1]Sheet!$A:$D,4,FALSE)</f>
        <v>Home Office</v>
      </c>
      <c r="K159">
        <f t="shared" si="2"/>
        <v>0.18306936952241443</v>
      </c>
    </row>
    <row r="160" spans="1:11" x14ac:dyDescent="0.25">
      <c r="A160" t="s">
        <v>383</v>
      </c>
      <c r="B160" t="s">
        <v>159</v>
      </c>
      <c r="C160" t="s">
        <v>311</v>
      </c>
      <c r="D160" t="s">
        <v>22</v>
      </c>
      <c r="E160">
        <v>718.34</v>
      </c>
      <c r="F160">
        <v>6</v>
      </c>
      <c r="G160">
        <v>170.46</v>
      </c>
      <c r="H160">
        <v>0.15</v>
      </c>
      <c r="I160" t="str">
        <f>VLOOKUP(C160,[1]Sheet!$A:$D,3,FALSE)</f>
        <v>North</v>
      </c>
      <c r="J160" t="str">
        <f>VLOOKUP(C160,[1]Sheet!$A:$D,4,FALSE)</f>
        <v>Home Office</v>
      </c>
      <c r="K160">
        <f t="shared" si="2"/>
        <v>0.23729710165102877</v>
      </c>
    </row>
    <row r="161" spans="1:11" x14ac:dyDescent="0.25">
      <c r="A161" t="s">
        <v>384</v>
      </c>
      <c r="B161" t="s">
        <v>73</v>
      </c>
      <c r="C161" t="s">
        <v>230</v>
      </c>
      <c r="D161" t="s">
        <v>11</v>
      </c>
      <c r="E161">
        <v>2699.73</v>
      </c>
      <c r="F161">
        <v>2</v>
      </c>
      <c r="G161">
        <v>502.46</v>
      </c>
      <c r="H161">
        <v>0</v>
      </c>
      <c r="I161" t="str">
        <f>VLOOKUP(C161,[1]Sheet!$A:$D,3,FALSE)</f>
        <v>South</v>
      </c>
      <c r="J161" t="str">
        <f>VLOOKUP(C161,[1]Sheet!$A:$D,4,FALSE)</f>
        <v>Consumer</v>
      </c>
      <c r="K161">
        <f t="shared" si="2"/>
        <v>0.18611490778707498</v>
      </c>
    </row>
    <row r="162" spans="1:11" x14ac:dyDescent="0.25">
      <c r="A162" t="s">
        <v>385</v>
      </c>
      <c r="B162" t="s">
        <v>386</v>
      </c>
      <c r="C162" t="s">
        <v>271</v>
      </c>
      <c r="D162" t="s">
        <v>11</v>
      </c>
      <c r="E162">
        <v>3289.49</v>
      </c>
      <c r="F162">
        <v>8</v>
      </c>
      <c r="G162">
        <v>923.32</v>
      </c>
      <c r="H162">
        <v>0.05</v>
      </c>
      <c r="I162" t="str">
        <f>VLOOKUP(C162,[1]Sheet!$A:$D,3,FALSE)</f>
        <v>South</v>
      </c>
      <c r="J162" t="str">
        <f>VLOOKUP(C162,[1]Sheet!$A:$D,4,FALSE)</f>
        <v>Home Office</v>
      </c>
      <c r="K162">
        <f t="shared" si="2"/>
        <v>0.28068788778807663</v>
      </c>
    </row>
    <row r="163" spans="1:11" x14ac:dyDescent="0.25">
      <c r="A163" t="s">
        <v>387</v>
      </c>
      <c r="B163" t="s">
        <v>358</v>
      </c>
      <c r="C163" t="s">
        <v>251</v>
      </c>
      <c r="D163" t="s">
        <v>22</v>
      </c>
      <c r="E163">
        <v>1760.76</v>
      </c>
      <c r="F163">
        <v>2</v>
      </c>
      <c r="G163">
        <v>327.58999999999997</v>
      </c>
      <c r="H163">
        <v>0.1</v>
      </c>
      <c r="I163" t="str">
        <f>VLOOKUP(C163,[1]Sheet!$A:$D,3,FALSE)</f>
        <v>East</v>
      </c>
      <c r="J163" t="str">
        <f>VLOOKUP(C163,[1]Sheet!$A:$D,4,FALSE)</f>
        <v>Home Office</v>
      </c>
      <c r="K163">
        <f t="shared" si="2"/>
        <v>0.18605034189781683</v>
      </c>
    </row>
    <row r="164" spans="1:11" x14ac:dyDescent="0.25">
      <c r="A164" t="s">
        <v>388</v>
      </c>
      <c r="B164" t="s">
        <v>389</v>
      </c>
      <c r="C164" t="s">
        <v>390</v>
      </c>
      <c r="D164" t="s">
        <v>22</v>
      </c>
      <c r="E164">
        <v>1631.37</v>
      </c>
      <c r="F164">
        <v>8</v>
      </c>
      <c r="G164">
        <v>206.31</v>
      </c>
      <c r="H164">
        <v>0</v>
      </c>
      <c r="I164" t="str">
        <f>VLOOKUP(C164,[1]Sheet!$A:$D,3,FALSE)</f>
        <v>West</v>
      </c>
      <c r="J164" t="str">
        <f>VLOOKUP(C164,[1]Sheet!$A:$D,4,FALSE)</f>
        <v>Corporate</v>
      </c>
      <c r="K164">
        <f t="shared" si="2"/>
        <v>0.12646426010040643</v>
      </c>
    </row>
    <row r="165" spans="1:11" x14ac:dyDescent="0.25">
      <c r="A165" t="s">
        <v>391</v>
      </c>
      <c r="B165" t="s">
        <v>392</v>
      </c>
      <c r="C165" t="s">
        <v>34</v>
      </c>
      <c r="D165" t="s">
        <v>22</v>
      </c>
      <c r="E165">
        <v>4175.68</v>
      </c>
      <c r="F165">
        <v>6</v>
      </c>
      <c r="G165">
        <v>325.57</v>
      </c>
      <c r="H165">
        <v>0.05</v>
      </c>
      <c r="I165" t="str">
        <f>VLOOKUP(C165,[1]Sheet!$A:$D,3,FALSE)</f>
        <v>West</v>
      </c>
      <c r="J165" t="str">
        <f>VLOOKUP(C165,[1]Sheet!$A:$D,4,FALSE)</f>
        <v>Home Office</v>
      </c>
      <c r="K165">
        <f t="shared" si="2"/>
        <v>7.7968139321020757E-2</v>
      </c>
    </row>
    <row r="166" spans="1:11" x14ac:dyDescent="0.25">
      <c r="A166" t="s">
        <v>393</v>
      </c>
      <c r="B166" t="s">
        <v>350</v>
      </c>
      <c r="C166" t="s">
        <v>243</v>
      </c>
      <c r="D166" t="s">
        <v>11</v>
      </c>
      <c r="E166">
        <v>393.91</v>
      </c>
      <c r="F166">
        <v>2</v>
      </c>
      <c r="G166">
        <v>132.74</v>
      </c>
      <c r="H166">
        <v>0.15</v>
      </c>
      <c r="I166" t="str">
        <f>VLOOKUP(C166,[1]Sheet!$A:$D,3,FALSE)</f>
        <v>North</v>
      </c>
      <c r="J166" t="str">
        <f>VLOOKUP(C166,[1]Sheet!$A:$D,4,FALSE)</f>
        <v>Home Office</v>
      </c>
      <c r="K166">
        <f t="shared" si="2"/>
        <v>0.33698052854713006</v>
      </c>
    </row>
    <row r="167" spans="1:11" x14ac:dyDescent="0.25">
      <c r="A167" t="s">
        <v>394</v>
      </c>
      <c r="B167" t="s">
        <v>395</v>
      </c>
      <c r="C167" t="s">
        <v>91</v>
      </c>
      <c r="D167" t="s">
        <v>22</v>
      </c>
      <c r="E167">
        <v>4380.68</v>
      </c>
      <c r="F167">
        <v>1</v>
      </c>
      <c r="G167">
        <v>1455.87</v>
      </c>
      <c r="H167">
        <v>0.1</v>
      </c>
      <c r="I167" t="str">
        <f>VLOOKUP(C167,[1]Sheet!$A:$D,3,FALSE)</f>
        <v>East</v>
      </c>
      <c r="J167" t="str">
        <f>VLOOKUP(C167,[1]Sheet!$A:$D,4,FALSE)</f>
        <v>Consumer</v>
      </c>
      <c r="K167">
        <f t="shared" si="2"/>
        <v>0.33233881497849643</v>
      </c>
    </row>
    <row r="168" spans="1:11" x14ac:dyDescent="0.25">
      <c r="A168" t="s">
        <v>396</v>
      </c>
      <c r="B168" t="s">
        <v>397</v>
      </c>
      <c r="C168" t="s">
        <v>230</v>
      </c>
      <c r="D168" t="s">
        <v>15</v>
      </c>
      <c r="E168">
        <v>1631</v>
      </c>
      <c r="F168">
        <v>3</v>
      </c>
      <c r="G168">
        <v>132.24</v>
      </c>
      <c r="H168">
        <v>0.15</v>
      </c>
      <c r="I168" t="str">
        <f>VLOOKUP(C168,[1]Sheet!$A:$D,3,FALSE)</f>
        <v>South</v>
      </c>
      <c r="J168" t="str">
        <f>VLOOKUP(C168,[1]Sheet!$A:$D,4,FALSE)</f>
        <v>Consumer</v>
      </c>
      <c r="K168">
        <f t="shared" si="2"/>
        <v>8.1079092581238507E-2</v>
      </c>
    </row>
    <row r="169" spans="1:11" x14ac:dyDescent="0.25">
      <c r="A169" t="s">
        <v>398</v>
      </c>
      <c r="B169" t="s">
        <v>399</v>
      </c>
      <c r="C169" t="s">
        <v>218</v>
      </c>
      <c r="D169" t="s">
        <v>11</v>
      </c>
      <c r="E169">
        <v>4251.6499999999996</v>
      </c>
      <c r="F169">
        <v>2</v>
      </c>
      <c r="G169">
        <v>659.15</v>
      </c>
      <c r="H169">
        <v>0.1</v>
      </c>
      <c r="I169" t="str">
        <f>VLOOKUP(C169,[1]Sheet!$A:$D,3,FALSE)</f>
        <v>South</v>
      </c>
      <c r="J169" t="str">
        <f>VLOOKUP(C169,[1]Sheet!$A:$D,4,FALSE)</f>
        <v>Corporate</v>
      </c>
      <c r="K169">
        <f t="shared" si="2"/>
        <v>0.15503392800442181</v>
      </c>
    </row>
    <row r="170" spans="1:11" x14ac:dyDescent="0.25">
      <c r="A170" t="s">
        <v>400</v>
      </c>
      <c r="B170" t="s">
        <v>350</v>
      </c>
      <c r="C170" t="s">
        <v>235</v>
      </c>
      <c r="D170" t="s">
        <v>22</v>
      </c>
      <c r="E170">
        <v>1208.18</v>
      </c>
      <c r="F170">
        <v>10</v>
      </c>
      <c r="G170">
        <v>215.94</v>
      </c>
      <c r="H170">
        <v>0.2</v>
      </c>
      <c r="I170" t="str">
        <f>VLOOKUP(C170,[1]Sheet!$A:$D,3,FALSE)</f>
        <v>South</v>
      </c>
      <c r="J170" t="str">
        <f>VLOOKUP(C170,[1]Sheet!$A:$D,4,FALSE)</f>
        <v>Home Office</v>
      </c>
      <c r="K170">
        <f t="shared" si="2"/>
        <v>0.178731645946796</v>
      </c>
    </row>
    <row r="171" spans="1:11" x14ac:dyDescent="0.25">
      <c r="A171" t="s">
        <v>401</v>
      </c>
      <c r="B171" t="s">
        <v>402</v>
      </c>
      <c r="C171" t="s">
        <v>97</v>
      </c>
      <c r="D171" t="s">
        <v>11</v>
      </c>
      <c r="E171">
        <v>3084.08</v>
      </c>
      <c r="F171">
        <v>1</v>
      </c>
      <c r="G171">
        <v>762.85</v>
      </c>
      <c r="H171">
        <v>0.05</v>
      </c>
      <c r="I171" t="str">
        <f>VLOOKUP(C171,[1]Sheet!$A:$D,3,FALSE)</f>
        <v>North</v>
      </c>
      <c r="J171" t="str">
        <f>VLOOKUP(C171,[1]Sheet!$A:$D,4,FALSE)</f>
        <v>Home Office</v>
      </c>
      <c r="K171">
        <f t="shared" si="2"/>
        <v>0.2473509117792016</v>
      </c>
    </row>
    <row r="172" spans="1:11" x14ac:dyDescent="0.25">
      <c r="A172" t="s">
        <v>403</v>
      </c>
      <c r="B172" t="s">
        <v>404</v>
      </c>
      <c r="C172" t="s">
        <v>224</v>
      </c>
      <c r="D172" t="s">
        <v>11</v>
      </c>
      <c r="E172">
        <v>3543.22</v>
      </c>
      <c r="F172">
        <v>1</v>
      </c>
      <c r="G172">
        <v>505.6</v>
      </c>
      <c r="H172">
        <v>0.05</v>
      </c>
      <c r="I172" t="str">
        <f>VLOOKUP(C172,[1]Sheet!$A:$D,3,FALSE)</f>
        <v>South</v>
      </c>
      <c r="J172" t="str">
        <f>VLOOKUP(C172,[1]Sheet!$A:$D,4,FALSE)</f>
        <v>Home Office</v>
      </c>
      <c r="K172">
        <f t="shared" si="2"/>
        <v>0.14269506268309617</v>
      </c>
    </row>
    <row r="173" spans="1:11" x14ac:dyDescent="0.25">
      <c r="A173" t="s">
        <v>405</v>
      </c>
      <c r="B173" t="s">
        <v>257</v>
      </c>
      <c r="C173" t="s">
        <v>318</v>
      </c>
      <c r="D173" t="s">
        <v>22</v>
      </c>
      <c r="E173">
        <v>2874.97</v>
      </c>
      <c r="F173">
        <v>1</v>
      </c>
      <c r="G173">
        <v>489.42</v>
      </c>
      <c r="H173">
        <v>0</v>
      </c>
      <c r="I173" t="str">
        <f>VLOOKUP(C173,[1]Sheet!$A:$D,3,FALSE)</f>
        <v>West</v>
      </c>
      <c r="J173" t="str">
        <f>VLOOKUP(C173,[1]Sheet!$A:$D,4,FALSE)</f>
        <v>Consumer</v>
      </c>
      <c r="K173">
        <f t="shared" si="2"/>
        <v>0.17023481984159836</v>
      </c>
    </row>
    <row r="174" spans="1:11" x14ac:dyDescent="0.25">
      <c r="A174" t="s">
        <v>406</v>
      </c>
      <c r="B174" t="s">
        <v>172</v>
      </c>
      <c r="C174" t="s">
        <v>46</v>
      </c>
      <c r="D174" t="s">
        <v>11</v>
      </c>
      <c r="E174">
        <v>2699.37</v>
      </c>
      <c r="F174">
        <v>3</v>
      </c>
      <c r="G174">
        <v>439.61</v>
      </c>
      <c r="H174">
        <v>0.1</v>
      </c>
      <c r="I174" t="str">
        <f>VLOOKUP(C174,[1]Sheet!$A:$D,3,FALSE)</f>
        <v>North</v>
      </c>
      <c r="J174" t="str">
        <f>VLOOKUP(C174,[1]Sheet!$A:$D,4,FALSE)</f>
        <v>Corporate</v>
      </c>
      <c r="K174">
        <f t="shared" si="2"/>
        <v>0.16285651837280551</v>
      </c>
    </row>
    <row r="175" spans="1:11" x14ac:dyDescent="0.25">
      <c r="A175" t="s">
        <v>407</v>
      </c>
      <c r="B175" t="s">
        <v>408</v>
      </c>
      <c r="C175" t="s">
        <v>260</v>
      </c>
      <c r="D175" t="s">
        <v>22</v>
      </c>
      <c r="E175">
        <v>3635.82</v>
      </c>
      <c r="F175">
        <v>2</v>
      </c>
      <c r="G175">
        <v>1029.1199999999999</v>
      </c>
      <c r="H175">
        <v>0</v>
      </c>
      <c r="I175" t="str">
        <f>VLOOKUP(C175,[1]Sheet!$A:$D,3,FALSE)</f>
        <v>West</v>
      </c>
      <c r="J175" t="str">
        <f>VLOOKUP(C175,[1]Sheet!$A:$D,4,FALSE)</f>
        <v>Corporate</v>
      </c>
      <c r="K175">
        <f t="shared" si="2"/>
        <v>0.28305031602224529</v>
      </c>
    </row>
    <row r="176" spans="1:11" x14ac:dyDescent="0.25">
      <c r="A176" t="s">
        <v>409</v>
      </c>
      <c r="B176" t="s">
        <v>266</v>
      </c>
      <c r="C176" t="s">
        <v>43</v>
      </c>
      <c r="D176" t="s">
        <v>15</v>
      </c>
      <c r="E176">
        <v>871.31</v>
      </c>
      <c r="F176">
        <v>5</v>
      </c>
      <c r="G176">
        <v>205.06</v>
      </c>
      <c r="H176">
        <v>0.15</v>
      </c>
      <c r="I176" t="str">
        <f>VLOOKUP(C176,[1]Sheet!$A:$D,3,FALSE)</f>
        <v>East</v>
      </c>
      <c r="J176" t="str">
        <f>VLOOKUP(C176,[1]Sheet!$A:$D,4,FALSE)</f>
        <v>Corporate</v>
      </c>
      <c r="K176">
        <f t="shared" si="2"/>
        <v>0.23534677669256637</v>
      </c>
    </row>
    <row r="177" spans="1:11" x14ac:dyDescent="0.25">
      <c r="A177" t="s">
        <v>410</v>
      </c>
      <c r="B177" t="s">
        <v>358</v>
      </c>
      <c r="C177" t="s">
        <v>21</v>
      </c>
      <c r="D177" t="s">
        <v>11</v>
      </c>
      <c r="E177">
        <v>2177.67</v>
      </c>
      <c r="F177">
        <v>4</v>
      </c>
      <c r="G177">
        <v>505.49</v>
      </c>
      <c r="H177">
        <v>0.2</v>
      </c>
      <c r="I177" t="str">
        <f>VLOOKUP(C177,[1]Sheet!$A:$D,3,FALSE)</f>
        <v>North</v>
      </c>
      <c r="J177" t="str">
        <f>VLOOKUP(C177,[1]Sheet!$A:$D,4,FALSE)</f>
        <v>Consumer</v>
      </c>
      <c r="K177">
        <f t="shared" si="2"/>
        <v>0.23212424288344882</v>
      </c>
    </row>
    <row r="178" spans="1:11" x14ac:dyDescent="0.25">
      <c r="A178" t="s">
        <v>411</v>
      </c>
      <c r="B178" t="s">
        <v>335</v>
      </c>
      <c r="C178" t="s">
        <v>412</v>
      </c>
      <c r="D178" t="s">
        <v>22</v>
      </c>
      <c r="E178">
        <v>1791.35</v>
      </c>
      <c r="F178">
        <v>10</v>
      </c>
      <c r="G178">
        <v>149.16</v>
      </c>
      <c r="H178">
        <v>0.15</v>
      </c>
      <c r="I178" t="str">
        <f>VLOOKUP(C178,[1]Sheet!$A:$D,3,FALSE)</f>
        <v>West</v>
      </c>
      <c r="J178" t="str">
        <f>VLOOKUP(C178,[1]Sheet!$A:$D,4,FALSE)</f>
        <v>Corporate</v>
      </c>
      <c r="K178">
        <f t="shared" si="2"/>
        <v>8.3266809947804735E-2</v>
      </c>
    </row>
    <row r="179" spans="1:11" x14ac:dyDescent="0.25">
      <c r="A179" t="s">
        <v>413</v>
      </c>
      <c r="B179" t="s">
        <v>414</v>
      </c>
      <c r="C179" t="s">
        <v>415</v>
      </c>
      <c r="D179" t="s">
        <v>22</v>
      </c>
      <c r="E179">
        <v>3368.95</v>
      </c>
      <c r="F179">
        <v>1</v>
      </c>
      <c r="G179">
        <v>214.35</v>
      </c>
      <c r="H179">
        <v>0</v>
      </c>
      <c r="I179" t="str">
        <f>VLOOKUP(C179,[1]Sheet!$A:$D,3,FALSE)</f>
        <v>East</v>
      </c>
      <c r="J179" t="str">
        <f>VLOOKUP(C179,[1]Sheet!$A:$D,4,FALSE)</f>
        <v>Home Office</v>
      </c>
      <c r="K179">
        <f t="shared" si="2"/>
        <v>6.3625165110791193E-2</v>
      </c>
    </row>
    <row r="180" spans="1:11" x14ac:dyDescent="0.25">
      <c r="A180" t="s">
        <v>416</v>
      </c>
      <c r="B180" t="s">
        <v>417</v>
      </c>
      <c r="C180" t="s">
        <v>418</v>
      </c>
      <c r="D180" t="s">
        <v>11</v>
      </c>
      <c r="E180">
        <v>1576.95</v>
      </c>
      <c r="F180">
        <v>5</v>
      </c>
      <c r="G180">
        <v>178.78</v>
      </c>
      <c r="H180">
        <v>0.1</v>
      </c>
      <c r="I180" t="str">
        <f>VLOOKUP(C180,[1]Sheet!$A:$D,3,FALSE)</f>
        <v>South</v>
      </c>
      <c r="J180" t="str">
        <f>VLOOKUP(C180,[1]Sheet!$A:$D,4,FALSE)</f>
        <v>Home Office</v>
      </c>
      <c r="K180">
        <f t="shared" si="2"/>
        <v>0.11337074732870414</v>
      </c>
    </row>
    <row r="181" spans="1:11" x14ac:dyDescent="0.25">
      <c r="A181" t="s">
        <v>419</v>
      </c>
      <c r="B181" t="s">
        <v>420</v>
      </c>
      <c r="C181" t="s">
        <v>193</v>
      </c>
      <c r="D181" t="s">
        <v>15</v>
      </c>
      <c r="E181">
        <v>137.88</v>
      </c>
      <c r="F181">
        <v>7</v>
      </c>
      <c r="G181">
        <v>37.79</v>
      </c>
      <c r="H181">
        <v>0.2</v>
      </c>
      <c r="I181" t="str">
        <f>VLOOKUP(C181,[1]Sheet!$A:$D,3,FALSE)</f>
        <v>East</v>
      </c>
      <c r="J181" t="str">
        <f>VLOOKUP(C181,[1]Sheet!$A:$D,4,FALSE)</f>
        <v>Consumer</v>
      </c>
      <c r="K181">
        <f t="shared" si="2"/>
        <v>0.27407890919640265</v>
      </c>
    </row>
    <row r="182" spans="1:11" x14ac:dyDescent="0.25">
      <c r="A182" t="s">
        <v>421</v>
      </c>
      <c r="B182" t="s">
        <v>166</v>
      </c>
      <c r="C182" t="s">
        <v>157</v>
      </c>
      <c r="D182" t="s">
        <v>11</v>
      </c>
      <c r="E182">
        <v>1227.54</v>
      </c>
      <c r="F182">
        <v>2</v>
      </c>
      <c r="G182">
        <v>267.13</v>
      </c>
      <c r="H182">
        <v>0.15</v>
      </c>
      <c r="I182" t="str">
        <f>VLOOKUP(C182,[1]Sheet!$A:$D,3,FALSE)</f>
        <v>South</v>
      </c>
      <c r="J182" t="str">
        <f>VLOOKUP(C182,[1]Sheet!$A:$D,4,FALSE)</f>
        <v>Home Office</v>
      </c>
      <c r="K182">
        <f t="shared" si="2"/>
        <v>0.217614089968555</v>
      </c>
    </row>
    <row r="183" spans="1:11" x14ac:dyDescent="0.25">
      <c r="A183" t="s">
        <v>422</v>
      </c>
      <c r="B183" t="s">
        <v>423</v>
      </c>
      <c r="C183" t="s">
        <v>424</v>
      </c>
      <c r="D183" t="s">
        <v>11</v>
      </c>
      <c r="E183">
        <v>307.27999999999997</v>
      </c>
      <c r="F183">
        <v>10</v>
      </c>
      <c r="G183">
        <v>17.09</v>
      </c>
      <c r="H183">
        <v>0.15</v>
      </c>
      <c r="I183" t="str">
        <f>VLOOKUP(C183,[1]Sheet!$A:$D,3,FALSE)</f>
        <v>South</v>
      </c>
      <c r="J183" t="str">
        <f>VLOOKUP(C183,[1]Sheet!$A:$D,4,FALSE)</f>
        <v>Consumer</v>
      </c>
      <c r="K183">
        <f t="shared" si="2"/>
        <v>5.5617026815933356E-2</v>
      </c>
    </row>
    <row r="184" spans="1:11" x14ac:dyDescent="0.25">
      <c r="A184" t="s">
        <v>425</v>
      </c>
      <c r="B184" t="s">
        <v>426</v>
      </c>
      <c r="C184" t="s">
        <v>235</v>
      </c>
      <c r="D184" t="s">
        <v>15</v>
      </c>
      <c r="E184">
        <v>2081.67</v>
      </c>
      <c r="F184">
        <v>7</v>
      </c>
      <c r="G184">
        <v>503.85</v>
      </c>
      <c r="H184">
        <v>0</v>
      </c>
      <c r="I184" t="str">
        <f>VLOOKUP(C184,[1]Sheet!$A:$D,3,FALSE)</f>
        <v>South</v>
      </c>
      <c r="J184" t="str">
        <f>VLOOKUP(C184,[1]Sheet!$A:$D,4,FALSE)</f>
        <v>Home Office</v>
      </c>
      <c r="K184">
        <f t="shared" si="2"/>
        <v>0.2420412457305913</v>
      </c>
    </row>
    <row r="185" spans="1:11" x14ac:dyDescent="0.25">
      <c r="A185" t="s">
        <v>427</v>
      </c>
      <c r="B185" t="s">
        <v>197</v>
      </c>
      <c r="C185" t="s">
        <v>428</v>
      </c>
      <c r="D185" t="s">
        <v>22</v>
      </c>
      <c r="E185">
        <v>942.18</v>
      </c>
      <c r="F185">
        <v>6</v>
      </c>
      <c r="G185">
        <v>314.95999999999998</v>
      </c>
      <c r="H185">
        <v>0</v>
      </c>
      <c r="I185" t="str">
        <f>VLOOKUP(C185,[1]Sheet!$A:$D,3,FALSE)</f>
        <v>South</v>
      </c>
      <c r="J185" t="str">
        <f>VLOOKUP(C185,[1]Sheet!$A:$D,4,FALSE)</f>
        <v>Home Office</v>
      </c>
      <c r="K185">
        <f t="shared" si="2"/>
        <v>0.33428856481776303</v>
      </c>
    </row>
    <row r="186" spans="1:11" x14ac:dyDescent="0.25">
      <c r="A186" t="s">
        <v>429</v>
      </c>
      <c r="B186" t="s">
        <v>245</v>
      </c>
      <c r="C186" t="s">
        <v>127</v>
      </c>
      <c r="D186" t="s">
        <v>11</v>
      </c>
      <c r="E186">
        <v>4237.97</v>
      </c>
      <c r="F186">
        <v>9</v>
      </c>
      <c r="G186">
        <v>521.25</v>
      </c>
      <c r="H186">
        <v>0</v>
      </c>
      <c r="I186" t="str">
        <f>VLOOKUP(C186,[1]Sheet!$A:$D,3,FALSE)</f>
        <v>South</v>
      </c>
      <c r="J186" t="str">
        <f>VLOOKUP(C186,[1]Sheet!$A:$D,4,FALSE)</f>
        <v>Consumer</v>
      </c>
      <c r="K186">
        <f t="shared" si="2"/>
        <v>0.1229952076111912</v>
      </c>
    </row>
    <row r="187" spans="1:11" x14ac:dyDescent="0.25">
      <c r="A187" t="s">
        <v>430</v>
      </c>
      <c r="B187" t="s">
        <v>431</v>
      </c>
      <c r="C187" t="s">
        <v>432</v>
      </c>
      <c r="D187" t="s">
        <v>11</v>
      </c>
      <c r="E187">
        <v>4365.57</v>
      </c>
      <c r="F187">
        <v>3</v>
      </c>
      <c r="G187">
        <v>1195.04</v>
      </c>
      <c r="H187">
        <v>0</v>
      </c>
      <c r="I187" t="str">
        <f>VLOOKUP(C187,[1]Sheet!$A:$D,3,FALSE)</f>
        <v>East</v>
      </c>
      <c r="J187" t="str">
        <f>VLOOKUP(C187,[1]Sheet!$A:$D,4,FALSE)</f>
        <v>Consumer</v>
      </c>
      <c r="K187">
        <f t="shared" si="2"/>
        <v>0.27374203139567116</v>
      </c>
    </row>
    <row r="188" spans="1:11" x14ac:dyDescent="0.25">
      <c r="A188" t="s">
        <v>433</v>
      </c>
      <c r="B188" t="s">
        <v>229</v>
      </c>
      <c r="C188" t="s">
        <v>132</v>
      </c>
      <c r="D188" t="s">
        <v>11</v>
      </c>
      <c r="E188">
        <v>3202.8</v>
      </c>
      <c r="F188">
        <v>6</v>
      </c>
      <c r="G188">
        <v>669.97</v>
      </c>
      <c r="H188">
        <v>0.05</v>
      </c>
      <c r="I188" t="str">
        <f>VLOOKUP(C188,[1]Sheet!$A:$D,3,FALSE)</f>
        <v>North</v>
      </c>
      <c r="J188" t="str">
        <f>VLOOKUP(C188,[1]Sheet!$A:$D,4,FALSE)</f>
        <v>Home Office</v>
      </c>
      <c r="K188">
        <f t="shared" si="2"/>
        <v>0.20918259023354566</v>
      </c>
    </row>
    <row r="189" spans="1:11" x14ac:dyDescent="0.25">
      <c r="A189" t="s">
        <v>434</v>
      </c>
      <c r="B189" t="s">
        <v>435</v>
      </c>
      <c r="C189" t="s">
        <v>14</v>
      </c>
      <c r="D189" t="s">
        <v>22</v>
      </c>
      <c r="E189">
        <v>603.74</v>
      </c>
      <c r="F189">
        <v>3</v>
      </c>
      <c r="G189">
        <v>76.55</v>
      </c>
      <c r="H189">
        <v>0</v>
      </c>
      <c r="I189" t="str">
        <f>VLOOKUP(C189,[1]Sheet!$A:$D,3,FALSE)</f>
        <v>North</v>
      </c>
      <c r="J189" t="str">
        <f>VLOOKUP(C189,[1]Sheet!$A:$D,4,FALSE)</f>
        <v>Corporate</v>
      </c>
      <c r="K189">
        <f t="shared" si="2"/>
        <v>0.12679299036008879</v>
      </c>
    </row>
    <row r="190" spans="1:11" x14ac:dyDescent="0.25">
      <c r="A190" t="s">
        <v>436</v>
      </c>
      <c r="B190" t="s">
        <v>205</v>
      </c>
      <c r="C190" t="s">
        <v>201</v>
      </c>
      <c r="D190" t="s">
        <v>22</v>
      </c>
      <c r="E190">
        <v>4761.33</v>
      </c>
      <c r="F190">
        <v>10</v>
      </c>
      <c r="G190">
        <v>1135.03</v>
      </c>
      <c r="H190">
        <v>0.15</v>
      </c>
      <c r="I190" t="str">
        <f>VLOOKUP(C190,[1]Sheet!$A:$D,3,FALSE)</f>
        <v>North</v>
      </c>
      <c r="J190" t="str">
        <f>VLOOKUP(C190,[1]Sheet!$A:$D,4,FALSE)</f>
        <v>Corporate</v>
      </c>
      <c r="K190">
        <f t="shared" si="2"/>
        <v>0.23838507307832055</v>
      </c>
    </row>
    <row r="191" spans="1:11" x14ac:dyDescent="0.25">
      <c r="A191" t="s">
        <v>437</v>
      </c>
      <c r="B191" t="s">
        <v>438</v>
      </c>
      <c r="C191" t="s">
        <v>76</v>
      </c>
      <c r="D191" t="s">
        <v>22</v>
      </c>
      <c r="E191">
        <v>4628.3599999999997</v>
      </c>
      <c r="F191">
        <v>6</v>
      </c>
      <c r="G191">
        <v>1015.22</v>
      </c>
      <c r="H191">
        <v>0.1</v>
      </c>
      <c r="I191" t="str">
        <f>VLOOKUP(C191,[1]Sheet!$A:$D,3,FALSE)</f>
        <v>West</v>
      </c>
      <c r="J191" t="str">
        <f>VLOOKUP(C191,[1]Sheet!$A:$D,4,FALSE)</f>
        <v>Home Office</v>
      </c>
      <c r="K191">
        <f t="shared" si="2"/>
        <v>0.21934767390609203</v>
      </c>
    </row>
    <row r="192" spans="1:11" x14ac:dyDescent="0.25">
      <c r="A192" t="s">
        <v>439</v>
      </c>
      <c r="B192" t="s">
        <v>440</v>
      </c>
      <c r="C192" t="s">
        <v>43</v>
      </c>
      <c r="D192" t="s">
        <v>11</v>
      </c>
      <c r="E192">
        <v>2254.84</v>
      </c>
      <c r="F192">
        <v>5</v>
      </c>
      <c r="G192">
        <v>429.94</v>
      </c>
      <c r="H192">
        <v>0.2</v>
      </c>
      <c r="I192" t="str">
        <f>VLOOKUP(C192,[1]Sheet!$A:$D,3,FALSE)</f>
        <v>East</v>
      </c>
      <c r="J192" t="str">
        <f>VLOOKUP(C192,[1]Sheet!$A:$D,4,FALSE)</f>
        <v>Corporate</v>
      </c>
      <c r="K192">
        <f t="shared" si="2"/>
        <v>0.19067428287594684</v>
      </c>
    </row>
    <row r="193" spans="1:11" x14ac:dyDescent="0.25">
      <c r="A193" t="s">
        <v>441</v>
      </c>
      <c r="B193" t="s">
        <v>442</v>
      </c>
      <c r="C193" t="s">
        <v>25</v>
      </c>
      <c r="D193" t="s">
        <v>11</v>
      </c>
      <c r="E193">
        <v>1824.52</v>
      </c>
      <c r="F193">
        <v>1</v>
      </c>
      <c r="G193">
        <v>131.83000000000001</v>
      </c>
      <c r="H193">
        <v>0</v>
      </c>
      <c r="I193" t="str">
        <f>VLOOKUP(C193,[1]Sheet!$A:$D,3,FALSE)</f>
        <v>South</v>
      </c>
      <c r="J193" t="str">
        <f>VLOOKUP(C193,[1]Sheet!$A:$D,4,FALSE)</f>
        <v>Consumer</v>
      </c>
      <c r="K193">
        <f t="shared" si="2"/>
        <v>7.2254620393308933E-2</v>
      </c>
    </row>
    <row r="194" spans="1:11" x14ac:dyDescent="0.25">
      <c r="A194" t="s">
        <v>443</v>
      </c>
      <c r="B194" t="s">
        <v>444</v>
      </c>
      <c r="C194" t="s">
        <v>348</v>
      </c>
      <c r="D194" t="s">
        <v>22</v>
      </c>
      <c r="E194">
        <v>4175.3100000000004</v>
      </c>
      <c r="F194">
        <v>10</v>
      </c>
      <c r="G194">
        <v>304.88</v>
      </c>
      <c r="H194">
        <v>0.2</v>
      </c>
      <c r="I194" t="str">
        <f>VLOOKUP(C194,[1]Sheet!$A:$D,3,FALSE)</f>
        <v>East</v>
      </c>
      <c r="J194" t="str">
        <f>VLOOKUP(C194,[1]Sheet!$A:$D,4,FALSE)</f>
        <v>Consumer</v>
      </c>
      <c r="K194">
        <f t="shared" si="2"/>
        <v>7.3019727876492996E-2</v>
      </c>
    </row>
    <row r="195" spans="1:11" x14ac:dyDescent="0.25">
      <c r="A195" t="s">
        <v>445</v>
      </c>
      <c r="B195" t="s">
        <v>87</v>
      </c>
      <c r="C195" t="s">
        <v>301</v>
      </c>
      <c r="D195" t="s">
        <v>11</v>
      </c>
      <c r="E195">
        <v>2367.29</v>
      </c>
      <c r="F195">
        <v>10</v>
      </c>
      <c r="G195">
        <v>512.03</v>
      </c>
      <c r="H195">
        <v>0.05</v>
      </c>
      <c r="I195" t="str">
        <f>VLOOKUP(C195,[1]Sheet!$A:$D,3,FALSE)</f>
        <v>West</v>
      </c>
      <c r="J195" t="str">
        <f>VLOOKUP(C195,[1]Sheet!$A:$D,4,FALSE)</f>
        <v>Consumer</v>
      </c>
      <c r="K195">
        <f t="shared" ref="K195:K258" si="3">G195/E195</f>
        <v>0.21629373672004695</v>
      </c>
    </row>
    <row r="196" spans="1:11" x14ac:dyDescent="0.25">
      <c r="A196" t="s">
        <v>446</v>
      </c>
      <c r="B196" t="s">
        <v>447</v>
      </c>
      <c r="C196" t="s">
        <v>428</v>
      </c>
      <c r="D196" t="s">
        <v>11</v>
      </c>
      <c r="E196">
        <v>3064.53</v>
      </c>
      <c r="F196">
        <v>2</v>
      </c>
      <c r="G196">
        <v>614.16</v>
      </c>
      <c r="H196">
        <v>0.1</v>
      </c>
      <c r="I196" t="str">
        <f>VLOOKUP(C196,[1]Sheet!$A:$D,3,FALSE)</f>
        <v>South</v>
      </c>
      <c r="J196" t="str">
        <f>VLOOKUP(C196,[1]Sheet!$A:$D,4,FALSE)</f>
        <v>Home Office</v>
      </c>
      <c r="K196">
        <f t="shared" si="3"/>
        <v>0.20040919814783995</v>
      </c>
    </row>
    <row r="197" spans="1:11" x14ac:dyDescent="0.25">
      <c r="A197" t="s">
        <v>448</v>
      </c>
      <c r="B197" t="s">
        <v>269</v>
      </c>
      <c r="C197" t="s">
        <v>449</v>
      </c>
      <c r="D197" t="s">
        <v>15</v>
      </c>
      <c r="E197">
        <v>513.21</v>
      </c>
      <c r="F197">
        <v>8</v>
      </c>
      <c r="G197">
        <v>125.14</v>
      </c>
      <c r="H197">
        <v>0.15</v>
      </c>
      <c r="I197" t="str">
        <f>VLOOKUP(C197,[1]Sheet!$A:$D,3,FALSE)</f>
        <v>East</v>
      </c>
      <c r="J197" t="str">
        <f>VLOOKUP(C197,[1]Sheet!$A:$D,4,FALSE)</f>
        <v>Corporate</v>
      </c>
      <c r="K197">
        <f t="shared" si="3"/>
        <v>0.24383780518696049</v>
      </c>
    </row>
    <row r="198" spans="1:11" x14ac:dyDescent="0.25">
      <c r="A198" t="s">
        <v>450</v>
      </c>
      <c r="B198" t="s">
        <v>451</v>
      </c>
      <c r="C198" t="s">
        <v>415</v>
      </c>
      <c r="D198" t="s">
        <v>11</v>
      </c>
      <c r="E198">
        <v>2661.47</v>
      </c>
      <c r="F198">
        <v>7</v>
      </c>
      <c r="G198">
        <v>259.82</v>
      </c>
      <c r="H198">
        <v>0.15</v>
      </c>
      <c r="I198" t="str">
        <f>VLOOKUP(C198,[1]Sheet!$A:$D,3,FALSE)</f>
        <v>East</v>
      </c>
      <c r="J198" t="str">
        <f>VLOOKUP(C198,[1]Sheet!$A:$D,4,FALSE)</f>
        <v>Home Office</v>
      </c>
      <c r="K198">
        <f t="shared" si="3"/>
        <v>9.7622742319094347E-2</v>
      </c>
    </row>
    <row r="199" spans="1:11" x14ac:dyDescent="0.25">
      <c r="A199" t="s">
        <v>452</v>
      </c>
      <c r="B199" t="s">
        <v>440</v>
      </c>
      <c r="C199" t="s">
        <v>453</v>
      </c>
      <c r="D199" t="s">
        <v>22</v>
      </c>
      <c r="E199">
        <v>1758</v>
      </c>
      <c r="F199">
        <v>6</v>
      </c>
      <c r="G199">
        <v>403.23</v>
      </c>
      <c r="H199">
        <v>0</v>
      </c>
      <c r="I199" t="str">
        <f>VLOOKUP(C199,[1]Sheet!$A:$D,3,FALSE)</f>
        <v>North</v>
      </c>
      <c r="J199" t="str">
        <f>VLOOKUP(C199,[1]Sheet!$A:$D,4,FALSE)</f>
        <v>Home Office</v>
      </c>
      <c r="K199">
        <f t="shared" si="3"/>
        <v>0.22936860068259388</v>
      </c>
    </row>
    <row r="200" spans="1:11" x14ac:dyDescent="0.25">
      <c r="A200" t="s">
        <v>454</v>
      </c>
      <c r="B200" t="s">
        <v>455</v>
      </c>
      <c r="C200" t="s">
        <v>456</v>
      </c>
      <c r="D200" t="s">
        <v>11</v>
      </c>
      <c r="E200">
        <v>563.08000000000004</v>
      </c>
      <c r="F200">
        <v>10</v>
      </c>
      <c r="G200">
        <v>142.75</v>
      </c>
      <c r="H200">
        <v>0.05</v>
      </c>
      <c r="I200" t="str">
        <f>VLOOKUP(C200,[1]Sheet!$A:$D,3,FALSE)</f>
        <v>East</v>
      </c>
      <c r="J200" t="str">
        <f>VLOOKUP(C200,[1]Sheet!$A:$D,4,FALSE)</f>
        <v>Consumer</v>
      </c>
      <c r="K200">
        <f t="shared" si="3"/>
        <v>0.2535163742274632</v>
      </c>
    </row>
    <row r="201" spans="1:11" x14ac:dyDescent="0.25">
      <c r="A201" t="s">
        <v>457</v>
      </c>
      <c r="B201" t="s">
        <v>178</v>
      </c>
      <c r="C201" t="s">
        <v>456</v>
      </c>
      <c r="D201" t="s">
        <v>11</v>
      </c>
      <c r="E201">
        <v>499.36</v>
      </c>
      <c r="F201">
        <v>7</v>
      </c>
      <c r="G201">
        <v>124.38</v>
      </c>
      <c r="H201">
        <v>0.05</v>
      </c>
      <c r="I201" t="str">
        <f>VLOOKUP(C201,[1]Sheet!$A:$D,3,FALSE)</f>
        <v>East</v>
      </c>
      <c r="J201" t="str">
        <f>VLOOKUP(C201,[1]Sheet!$A:$D,4,FALSE)</f>
        <v>Consumer</v>
      </c>
      <c r="K201">
        <f t="shared" si="3"/>
        <v>0.24907882089074013</v>
      </c>
    </row>
    <row r="202" spans="1:11" x14ac:dyDescent="0.25">
      <c r="A202" t="s">
        <v>458</v>
      </c>
      <c r="B202" t="s">
        <v>459</v>
      </c>
      <c r="C202" t="s">
        <v>230</v>
      </c>
      <c r="D202" t="s">
        <v>11</v>
      </c>
      <c r="E202">
        <v>3573.29</v>
      </c>
      <c r="F202">
        <v>6</v>
      </c>
      <c r="G202">
        <v>269.48</v>
      </c>
      <c r="H202">
        <v>0.05</v>
      </c>
      <c r="I202" t="str">
        <f>VLOOKUP(C202,[1]Sheet!$A:$D,3,FALSE)</f>
        <v>South</v>
      </c>
      <c r="J202" t="str">
        <f>VLOOKUP(C202,[1]Sheet!$A:$D,4,FALSE)</f>
        <v>Consumer</v>
      </c>
      <c r="K202">
        <f t="shared" si="3"/>
        <v>7.5415093653187965E-2</v>
      </c>
    </row>
    <row r="203" spans="1:11" x14ac:dyDescent="0.25">
      <c r="A203" t="s">
        <v>460</v>
      </c>
      <c r="B203" t="s">
        <v>461</v>
      </c>
      <c r="C203" t="s">
        <v>59</v>
      </c>
      <c r="D203" t="s">
        <v>22</v>
      </c>
      <c r="E203">
        <v>3543.87</v>
      </c>
      <c r="F203">
        <v>2</v>
      </c>
      <c r="G203">
        <v>1184.1199999999999</v>
      </c>
      <c r="H203">
        <v>0.15</v>
      </c>
      <c r="I203" t="str">
        <f>VLOOKUP(C203,[1]Sheet!$A:$D,3,FALSE)</f>
        <v>West</v>
      </c>
      <c r="J203" t="str">
        <f>VLOOKUP(C203,[1]Sheet!$A:$D,4,FALSE)</f>
        <v>Consumer</v>
      </c>
      <c r="K203">
        <f t="shared" si="3"/>
        <v>0.33413189535733534</v>
      </c>
    </row>
    <row r="204" spans="1:11" x14ac:dyDescent="0.25">
      <c r="A204" t="s">
        <v>462</v>
      </c>
      <c r="B204" t="s">
        <v>463</v>
      </c>
      <c r="C204" t="s">
        <v>132</v>
      </c>
      <c r="D204" t="s">
        <v>15</v>
      </c>
      <c r="E204">
        <v>1872.96</v>
      </c>
      <c r="F204">
        <v>6</v>
      </c>
      <c r="G204">
        <v>297.39</v>
      </c>
      <c r="H204">
        <v>0.15</v>
      </c>
      <c r="I204" t="str">
        <f>VLOOKUP(C204,[1]Sheet!$A:$D,3,FALSE)</f>
        <v>North</v>
      </c>
      <c r="J204" t="str">
        <f>VLOOKUP(C204,[1]Sheet!$A:$D,4,FALSE)</f>
        <v>Home Office</v>
      </c>
      <c r="K204">
        <f t="shared" si="3"/>
        <v>0.15878075345976422</v>
      </c>
    </row>
    <row r="205" spans="1:11" x14ac:dyDescent="0.25">
      <c r="A205" t="s">
        <v>464</v>
      </c>
      <c r="B205" t="s">
        <v>423</v>
      </c>
      <c r="C205" t="s">
        <v>113</v>
      </c>
      <c r="D205" t="s">
        <v>11</v>
      </c>
      <c r="E205">
        <v>1210.06</v>
      </c>
      <c r="F205">
        <v>2</v>
      </c>
      <c r="G205">
        <v>110.44</v>
      </c>
      <c r="H205">
        <v>0.2</v>
      </c>
      <c r="I205" t="str">
        <f>VLOOKUP(C205,[1]Sheet!$A:$D,3,FALSE)</f>
        <v>East</v>
      </c>
      <c r="J205" t="str">
        <f>VLOOKUP(C205,[1]Sheet!$A:$D,4,FALSE)</f>
        <v>Home Office</v>
      </c>
      <c r="K205">
        <f t="shared" si="3"/>
        <v>9.1268201576781324E-2</v>
      </c>
    </row>
    <row r="206" spans="1:11" x14ac:dyDescent="0.25">
      <c r="A206" t="s">
        <v>465</v>
      </c>
      <c r="B206" t="s">
        <v>374</v>
      </c>
      <c r="C206" t="s">
        <v>466</v>
      </c>
      <c r="D206" t="s">
        <v>15</v>
      </c>
      <c r="E206">
        <v>2744.88</v>
      </c>
      <c r="F206">
        <v>6</v>
      </c>
      <c r="G206">
        <v>745.49</v>
      </c>
      <c r="H206">
        <v>0.2</v>
      </c>
      <c r="I206" t="str">
        <f>VLOOKUP(C206,[1]Sheet!$A:$D,3,FALSE)</f>
        <v>South</v>
      </c>
      <c r="J206" t="str">
        <f>VLOOKUP(C206,[1]Sheet!$A:$D,4,FALSE)</f>
        <v>Consumer</v>
      </c>
      <c r="K206">
        <f t="shared" si="3"/>
        <v>0.27159292938124802</v>
      </c>
    </row>
    <row r="207" spans="1:11" x14ac:dyDescent="0.25">
      <c r="A207" t="s">
        <v>467</v>
      </c>
      <c r="B207" t="s">
        <v>463</v>
      </c>
      <c r="C207" t="s">
        <v>184</v>
      </c>
      <c r="D207" t="s">
        <v>22</v>
      </c>
      <c r="E207">
        <v>3026.51</v>
      </c>
      <c r="F207">
        <v>10</v>
      </c>
      <c r="G207">
        <v>291.38</v>
      </c>
      <c r="H207">
        <v>0.05</v>
      </c>
      <c r="I207" t="str">
        <f>VLOOKUP(C207,[1]Sheet!$A:$D,3,FALSE)</f>
        <v>South</v>
      </c>
      <c r="J207" t="str">
        <f>VLOOKUP(C207,[1]Sheet!$A:$D,4,FALSE)</f>
        <v>Corporate</v>
      </c>
      <c r="K207">
        <f t="shared" si="3"/>
        <v>9.6275908554737957E-2</v>
      </c>
    </row>
    <row r="208" spans="1:11" x14ac:dyDescent="0.25">
      <c r="A208" t="s">
        <v>468</v>
      </c>
      <c r="B208" t="s">
        <v>189</v>
      </c>
      <c r="C208" t="s">
        <v>119</v>
      </c>
      <c r="D208" t="s">
        <v>22</v>
      </c>
      <c r="E208">
        <v>2244.6</v>
      </c>
      <c r="F208">
        <v>4</v>
      </c>
      <c r="G208">
        <v>388.89</v>
      </c>
      <c r="H208">
        <v>0.15</v>
      </c>
      <c r="I208" t="str">
        <f>VLOOKUP(C208,[1]Sheet!$A:$D,3,FALSE)</f>
        <v>East</v>
      </c>
      <c r="J208" t="str">
        <f>VLOOKUP(C208,[1]Sheet!$A:$D,4,FALSE)</f>
        <v>Corporate</v>
      </c>
      <c r="K208">
        <f t="shared" si="3"/>
        <v>0.17325581395348838</v>
      </c>
    </row>
    <row r="209" spans="1:11" x14ac:dyDescent="0.25">
      <c r="A209" t="s">
        <v>469</v>
      </c>
      <c r="B209" t="s">
        <v>214</v>
      </c>
      <c r="C209" t="s">
        <v>124</v>
      </c>
      <c r="D209" t="s">
        <v>15</v>
      </c>
      <c r="E209">
        <v>1496.15</v>
      </c>
      <c r="F209">
        <v>9</v>
      </c>
      <c r="G209">
        <v>410.78</v>
      </c>
      <c r="H209">
        <v>0.05</v>
      </c>
      <c r="I209" t="str">
        <f>VLOOKUP(C209,[1]Sheet!$A:$D,3,FALSE)</f>
        <v>North</v>
      </c>
      <c r="J209" t="str">
        <f>VLOOKUP(C209,[1]Sheet!$A:$D,4,FALSE)</f>
        <v>Home Office</v>
      </c>
      <c r="K209">
        <f t="shared" si="3"/>
        <v>0.2745580322828593</v>
      </c>
    </row>
    <row r="210" spans="1:11" x14ac:dyDescent="0.25">
      <c r="A210" t="s">
        <v>470</v>
      </c>
      <c r="B210" t="s">
        <v>229</v>
      </c>
      <c r="C210" t="s">
        <v>260</v>
      </c>
      <c r="D210" t="s">
        <v>11</v>
      </c>
      <c r="E210">
        <v>4831.42</v>
      </c>
      <c r="F210">
        <v>10</v>
      </c>
      <c r="G210">
        <v>1378.46</v>
      </c>
      <c r="H210">
        <v>0.15</v>
      </c>
      <c r="I210" t="str">
        <f>VLOOKUP(C210,[1]Sheet!$A:$D,3,FALSE)</f>
        <v>West</v>
      </c>
      <c r="J210" t="str">
        <f>VLOOKUP(C210,[1]Sheet!$A:$D,4,FALSE)</f>
        <v>Corporate</v>
      </c>
      <c r="K210">
        <f t="shared" si="3"/>
        <v>0.28531156471596342</v>
      </c>
    </row>
    <row r="211" spans="1:11" x14ac:dyDescent="0.25">
      <c r="A211" t="s">
        <v>471</v>
      </c>
      <c r="B211" t="s">
        <v>472</v>
      </c>
      <c r="C211" t="s">
        <v>146</v>
      </c>
      <c r="D211" t="s">
        <v>22</v>
      </c>
      <c r="E211">
        <v>3870.25</v>
      </c>
      <c r="F211">
        <v>7</v>
      </c>
      <c r="G211">
        <v>1096.97</v>
      </c>
      <c r="H211">
        <v>0.05</v>
      </c>
      <c r="I211" t="str">
        <f>VLOOKUP(C211,[1]Sheet!$A:$D,3,FALSE)</f>
        <v>South</v>
      </c>
      <c r="J211" t="str">
        <f>VLOOKUP(C211,[1]Sheet!$A:$D,4,FALSE)</f>
        <v>Home Office</v>
      </c>
      <c r="K211">
        <f t="shared" si="3"/>
        <v>0.2834364705122408</v>
      </c>
    </row>
    <row r="212" spans="1:11" x14ac:dyDescent="0.25">
      <c r="A212" t="s">
        <v>473</v>
      </c>
      <c r="B212" t="s">
        <v>474</v>
      </c>
      <c r="C212" t="s">
        <v>135</v>
      </c>
      <c r="D212" t="s">
        <v>15</v>
      </c>
      <c r="E212">
        <v>4026.17</v>
      </c>
      <c r="F212">
        <v>8</v>
      </c>
      <c r="G212">
        <v>368.47</v>
      </c>
      <c r="H212">
        <v>0.1</v>
      </c>
      <c r="I212" t="str">
        <f>VLOOKUP(C212,[1]Sheet!$A:$D,3,FALSE)</f>
        <v>East</v>
      </c>
      <c r="J212" t="str">
        <f>VLOOKUP(C212,[1]Sheet!$A:$D,4,FALSE)</f>
        <v>Home Office</v>
      </c>
      <c r="K212">
        <f t="shared" si="3"/>
        <v>9.1518738652366899E-2</v>
      </c>
    </row>
    <row r="213" spans="1:11" x14ac:dyDescent="0.25">
      <c r="A213" t="s">
        <v>475</v>
      </c>
      <c r="B213" t="s">
        <v>476</v>
      </c>
      <c r="C213" t="s">
        <v>221</v>
      </c>
      <c r="D213" t="s">
        <v>15</v>
      </c>
      <c r="E213">
        <v>4678.04</v>
      </c>
      <c r="F213">
        <v>5</v>
      </c>
      <c r="G213">
        <v>1232.29</v>
      </c>
      <c r="H213">
        <v>0</v>
      </c>
      <c r="I213" t="str">
        <f>VLOOKUP(C213,[1]Sheet!$A:$D,3,FALSE)</f>
        <v>South</v>
      </c>
      <c r="J213" t="str">
        <f>VLOOKUP(C213,[1]Sheet!$A:$D,4,FALSE)</f>
        <v>Corporate</v>
      </c>
      <c r="K213">
        <f t="shared" si="3"/>
        <v>0.2634201503193645</v>
      </c>
    </row>
    <row r="214" spans="1:11" x14ac:dyDescent="0.25">
      <c r="A214" t="s">
        <v>477</v>
      </c>
      <c r="B214" t="s">
        <v>478</v>
      </c>
      <c r="C214" t="s">
        <v>227</v>
      </c>
      <c r="D214" t="s">
        <v>15</v>
      </c>
      <c r="E214">
        <v>885.53</v>
      </c>
      <c r="F214">
        <v>7</v>
      </c>
      <c r="G214">
        <v>163.63999999999999</v>
      </c>
      <c r="H214">
        <v>0</v>
      </c>
      <c r="I214" t="str">
        <f>VLOOKUP(C214,[1]Sheet!$A:$D,3,FALSE)</f>
        <v>South</v>
      </c>
      <c r="J214" t="str">
        <f>VLOOKUP(C214,[1]Sheet!$A:$D,4,FALSE)</f>
        <v>Home Office</v>
      </c>
      <c r="K214">
        <f t="shared" si="3"/>
        <v>0.18479328763565323</v>
      </c>
    </row>
    <row r="215" spans="1:11" x14ac:dyDescent="0.25">
      <c r="A215" t="s">
        <v>479</v>
      </c>
      <c r="B215" t="s">
        <v>480</v>
      </c>
      <c r="C215" t="s">
        <v>218</v>
      </c>
      <c r="D215" t="s">
        <v>11</v>
      </c>
      <c r="E215">
        <v>4101.8500000000004</v>
      </c>
      <c r="F215">
        <v>1</v>
      </c>
      <c r="G215">
        <v>1293.68</v>
      </c>
      <c r="H215">
        <v>0.15</v>
      </c>
      <c r="I215" t="str">
        <f>VLOOKUP(C215,[1]Sheet!$A:$D,3,FALSE)</f>
        <v>South</v>
      </c>
      <c r="J215" t="str">
        <f>VLOOKUP(C215,[1]Sheet!$A:$D,4,FALSE)</f>
        <v>Corporate</v>
      </c>
      <c r="K215">
        <f t="shared" si="3"/>
        <v>0.31538939746699657</v>
      </c>
    </row>
    <row r="216" spans="1:11" x14ac:dyDescent="0.25">
      <c r="A216" t="s">
        <v>481</v>
      </c>
      <c r="B216" t="s">
        <v>381</v>
      </c>
      <c r="C216" t="s">
        <v>291</v>
      </c>
      <c r="D216" t="s">
        <v>11</v>
      </c>
      <c r="E216">
        <v>1932.41</v>
      </c>
      <c r="F216">
        <v>4</v>
      </c>
      <c r="G216">
        <v>320.49</v>
      </c>
      <c r="H216">
        <v>0</v>
      </c>
      <c r="I216" t="str">
        <f>VLOOKUP(C216,[1]Sheet!$A:$D,3,FALSE)</f>
        <v>East</v>
      </c>
      <c r="J216" t="str">
        <f>VLOOKUP(C216,[1]Sheet!$A:$D,4,FALSE)</f>
        <v>Home Office</v>
      </c>
      <c r="K216">
        <f t="shared" si="3"/>
        <v>0.16584989727852784</v>
      </c>
    </row>
    <row r="217" spans="1:11" x14ac:dyDescent="0.25">
      <c r="A217" t="s">
        <v>482</v>
      </c>
      <c r="B217" t="s">
        <v>307</v>
      </c>
      <c r="C217" t="s">
        <v>155</v>
      </c>
      <c r="D217" t="s">
        <v>11</v>
      </c>
      <c r="E217">
        <v>4661.05</v>
      </c>
      <c r="F217">
        <v>3</v>
      </c>
      <c r="G217">
        <v>1406.49</v>
      </c>
      <c r="H217">
        <v>0.05</v>
      </c>
      <c r="I217" t="str">
        <f>VLOOKUP(C217,[1]Sheet!$A:$D,3,FALSE)</f>
        <v>East</v>
      </c>
      <c r="J217" t="str">
        <f>VLOOKUP(C217,[1]Sheet!$A:$D,4,FALSE)</f>
        <v>Home Office</v>
      </c>
      <c r="K217">
        <f t="shared" si="3"/>
        <v>0.30175389665418734</v>
      </c>
    </row>
    <row r="218" spans="1:11" x14ac:dyDescent="0.25">
      <c r="A218" t="s">
        <v>483</v>
      </c>
      <c r="B218" t="s">
        <v>137</v>
      </c>
      <c r="C218" t="s">
        <v>484</v>
      </c>
      <c r="D218" t="s">
        <v>15</v>
      </c>
      <c r="E218">
        <v>1505.71</v>
      </c>
      <c r="F218">
        <v>8</v>
      </c>
      <c r="G218">
        <v>450.1</v>
      </c>
      <c r="H218">
        <v>0.15</v>
      </c>
      <c r="I218" t="str">
        <f>VLOOKUP(C218,[1]Sheet!$A:$D,3,FALSE)</f>
        <v>North</v>
      </c>
      <c r="J218" t="str">
        <f>VLOOKUP(C218,[1]Sheet!$A:$D,4,FALSE)</f>
        <v>Home Office</v>
      </c>
      <c r="K218">
        <f t="shared" si="3"/>
        <v>0.2989287445789694</v>
      </c>
    </row>
    <row r="219" spans="1:11" x14ac:dyDescent="0.25">
      <c r="A219" t="s">
        <v>485</v>
      </c>
      <c r="B219" t="s">
        <v>486</v>
      </c>
      <c r="C219" t="s">
        <v>124</v>
      </c>
      <c r="D219" t="s">
        <v>15</v>
      </c>
      <c r="E219">
        <v>125.73</v>
      </c>
      <c r="F219">
        <v>3</v>
      </c>
      <c r="G219">
        <v>9.27</v>
      </c>
      <c r="H219">
        <v>0.2</v>
      </c>
      <c r="I219" t="str">
        <f>VLOOKUP(C219,[1]Sheet!$A:$D,3,FALSE)</f>
        <v>North</v>
      </c>
      <c r="J219" t="str">
        <f>VLOOKUP(C219,[1]Sheet!$A:$D,4,FALSE)</f>
        <v>Home Office</v>
      </c>
      <c r="K219">
        <f t="shared" si="3"/>
        <v>7.3729420186113087E-2</v>
      </c>
    </row>
    <row r="220" spans="1:11" x14ac:dyDescent="0.25">
      <c r="A220" t="s">
        <v>487</v>
      </c>
      <c r="B220" t="s">
        <v>259</v>
      </c>
      <c r="C220" t="s">
        <v>110</v>
      </c>
      <c r="D220" t="s">
        <v>15</v>
      </c>
      <c r="E220">
        <v>3083.51</v>
      </c>
      <c r="F220">
        <v>5</v>
      </c>
      <c r="G220">
        <v>545.71</v>
      </c>
      <c r="H220">
        <v>0</v>
      </c>
      <c r="I220" t="str">
        <f>VLOOKUP(C220,[1]Sheet!$A:$D,3,FALSE)</f>
        <v>West</v>
      </c>
      <c r="J220" t="str">
        <f>VLOOKUP(C220,[1]Sheet!$A:$D,4,FALSE)</f>
        <v>Consumer</v>
      </c>
      <c r="K220">
        <f t="shared" si="3"/>
        <v>0.17697688672973333</v>
      </c>
    </row>
    <row r="221" spans="1:11" x14ac:dyDescent="0.25">
      <c r="A221" t="s">
        <v>488</v>
      </c>
      <c r="B221" t="s">
        <v>489</v>
      </c>
      <c r="C221" t="s">
        <v>173</v>
      </c>
      <c r="D221" t="s">
        <v>11</v>
      </c>
      <c r="E221">
        <v>1268.3499999999999</v>
      </c>
      <c r="F221">
        <v>2</v>
      </c>
      <c r="G221">
        <v>306.54000000000002</v>
      </c>
      <c r="H221">
        <v>0</v>
      </c>
      <c r="I221" t="str">
        <f>VLOOKUP(C221,[1]Sheet!$A:$D,3,FALSE)</f>
        <v>North</v>
      </c>
      <c r="J221" t="str">
        <f>VLOOKUP(C221,[1]Sheet!$A:$D,4,FALSE)</f>
        <v>Consumer</v>
      </c>
      <c r="K221">
        <f t="shared" si="3"/>
        <v>0.24168407773879452</v>
      </c>
    </row>
    <row r="222" spans="1:11" x14ac:dyDescent="0.25">
      <c r="A222" t="s">
        <v>490</v>
      </c>
      <c r="B222" t="s">
        <v>491</v>
      </c>
      <c r="C222" t="s">
        <v>492</v>
      </c>
      <c r="D222" t="s">
        <v>22</v>
      </c>
      <c r="E222">
        <v>3024.02</v>
      </c>
      <c r="F222">
        <v>4</v>
      </c>
      <c r="G222">
        <v>166.11</v>
      </c>
      <c r="H222">
        <v>0.05</v>
      </c>
      <c r="I222" t="str">
        <f>VLOOKUP(C222,[1]Sheet!$A:$D,3,FALSE)</f>
        <v>West</v>
      </c>
      <c r="J222" t="str">
        <f>VLOOKUP(C222,[1]Sheet!$A:$D,4,FALSE)</f>
        <v>Home Office</v>
      </c>
      <c r="K222">
        <f t="shared" si="3"/>
        <v>5.4930192260633198E-2</v>
      </c>
    </row>
    <row r="223" spans="1:11" x14ac:dyDescent="0.25">
      <c r="A223" t="s">
        <v>493</v>
      </c>
      <c r="B223" t="s">
        <v>494</v>
      </c>
      <c r="C223" t="s">
        <v>495</v>
      </c>
      <c r="D223" t="s">
        <v>22</v>
      </c>
      <c r="E223">
        <v>2203.27</v>
      </c>
      <c r="F223">
        <v>7</v>
      </c>
      <c r="G223">
        <v>516.54</v>
      </c>
      <c r="H223">
        <v>0.05</v>
      </c>
      <c r="I223" t="str">
        <f>VLOOKUP(C223,[1]Sheet!$A:$D,3,FALSE)</f>
        <v>South</v>
      </c>
      <c r="J223" t="str">
        <f>VLOOKUP(C223,[1]Sheet!$A:$D,4,FALSE)</f>
        <v>Home Office</v>
      </c>
      <c r="K223">
        <f t="shared" si="3"/>
        <v>0.2344424423697504</v>
      </c>
    </row>
    <row r="224" spans="1:11" x14ac:dyDescent="0.25">
      <c r="A224" t="s">
        <v>496</v>
      </c>
      <c r="B224" t="s">
        <v>497</v>
      </c>
      <c r="C224" t="s">
        <v>59</v>
      </c>
      <c r="D224" t="s">
        <v>15</v>
      </c>
      <c r="E224">
        <v>3374.25</v>
      </c>
      <c r="F224">
        <v>9</v>
      </c>
      <c r="G224">
        <v>698.62</v>
      </c>
      <c r="H224">
        <v>0.2</v>
      </c>
      <c r="I224" t="str">
        <f>VLOOKUP(C224,[1]Sheet!$A:$D,3,FALSE)</f>
        <v>West</v>
      </c>
      <c r="J224" t="str">
        <f>VLOOKUP(C224,[1]Sheet!$A:$D,4,FALSE)</f>
        <v>Consumer</v>
      </c>
      <c r="K224">
        <f t="shared" si="3"/>
        <v>0.20704452841372156</v>
      </c>
    </row>
    <row r="225" spans="1:11" x14ac:dyDescent="0.25">
      <c r="A225" t="s">
        <v>498</v>
      </c>
      <c r="B225" t="s">
        <v>180</v>
      </c>
      <c r="C225" t="s">
        <v>291</v>
      </c>
      <c r="D225" t="s">
        <v>11</v>
      </c>
      <c r="E225">
        <v>3953.42</v>
      </c>
      <c r="F225">
        <v>8</v>
      </c>
      <c r="G225">
        <v>799.72</v>
      </c>
      <c r="H225">
        <v>0</v>
      </c>
      <c r="I225" t="str">
        <f>VLOOKUP(C225,[1]Sheet!$A:$D,3,FALSE)</f>
        <v>East</v>
      </c>
      <c r="J225" t="str">
        <f>VLOOKUP(C225,[1]Sheet!$A:$D,4,FALSE)</f>
        <v>Home Office</v>
      </c>
      <c r="K225">
        <f t="shared" si="3"/>
        <v>0.20228561599830022</v>
      </c>
    </row>
    <row r="226" spans="1:11" x14ac:dyDescent="0.25">
      <c r="A226" t="s">
        <v>499</v>
      </c>
      <c r="B226" t="s">
        <v>500</v>
      </c>
      <c r="C226" t="s">
        <v>79</v>
      </c>
      <c r="D226" t="s">
        <v>11</v>
      </c>
      <c r="E226">
        <v>1995.72</v>
      </c>
      <c r="F226">
        <v>2</v>
      </c>
      <c r="G226">
        <v>323.29000000000002</v>
      </c>
      <c r="H226">
        <v>0.1</v>
      </c>
      <c r="I226" t="str">
        <f>VLOOKUP(C226,[1]Sheet!$A:$D,3,FALSE)</f>
        <v>East</v>
      </c>
      <c r="J226" t="str">
        <f>VLOOKUP(C226,[1]Sheet!$A:$D,4,FALSE)</f>
        <v>Corporate</v>
      </c>
      <c r="K226">
        <f t="shared" si="3"/>
        <v>0.16199166215701602</v>
      </c>
    </row>
    <row r="227" spans="1:11" x14ac:dyDescent="0.25">
      <c r="A227" t="s">
        <v>501</v>
      </c>
      <c r="B227" t="s">
        <v>502</v>
      </c>
      <c r="C227" t="s">
        <v>14</v>
      </c>
      <c r="D227" t="s">
        <v>22</v>
      </c>
      <c r="E227">
        <v>3691.41</v>
      </c>
      <c r="F227">
        <v>6</v>
      </c>
      <c r="G227">
        <v>880.32</v>
      </c>
      <c r="H227">
        <v>0.05</v>
      </c>
      <c r="I227" t="str">
        <f>VLOOKUP(C227,[1]Sheet!$A:$D,3,FALSE)</f>
        <v>North</v>
      </c>
      <c r="J227" t="str">
        <f>VLOOKUP(C227,[1]Sheet!$A:$D,4,FALSE)</f>
        <v>Corporate</v>
      </c>
      <c r="K227">
        <f t="shared" si="3"/>
        <v>0.23847797995887751</v>
      </c>
    </row>
    <row r="228" spans="1:11" x14ac:dyDescent="0.25">
      <c r="A228" t="s">
        <v>503</v>
      </c>
      <c r="B228" t="s">
        <v>504</v>
      </c>
      <c r="C228" t="s">
        <v>54</v>
      </c>
      <c r="D228" t="s">
        <v>15</v>
      </c>
      <c r="E228">
        <v>1826.27</v>
      </c>
      <c r="F228">
        <v>8</v>
      </c>
      <c r="G228">
        <v>276.8</v>
      </c>
      <c r="H228">
        <v>0.15</v>
      </c>
      <c r="I228" t="str">
        <f>VLOOKUP(C228,[1]Sheet!$A:$D,3,FALSE)</f>
        <v>West</v>
      </c>
      <c r="J228" t="str">
        <f>VLOOKUP(C228,[1]Sheet!$A:$D,4,FALSE)</f>
        <v>Consumer</v>
      </c>
      <c r="K228">
        <f t="shared" si="3"/>
        <v>0.15156575971789496</v>
      </c>
    </row>
    <row r="229" spans="1:11" x14ac:dyDescent="0.25">
      <c r="A229" t="s">
        <v>505</v>
      </c>
      <c r="B229" t="s">
        <v>506</v>
      </c>
      <c r="C229" t="s">
        <v>10</v>
      </c>
      <c r="D229" t="s">
        <v>15</v>
      </c>
      <c r="E229">
        <v>993.16</v>
      </c>
      <c r="F229">
        <v>5</v>
      </c>
      <c r="G229">
        <v>89.84</v>
      </c>
      <c r="H229">
        <v>0.05</v>
      </c>
      <c r="I229" t="str">
        <f>VLOOKUP(C229,[1]Sheet!$A:$D,3,FALSE)</f>
        <v>North</v>
      </c>
      <c r="J229" t="str">
        <f>VLOOKUP(C229,[1]Sheet!$A:$D,4,FALSE)</f>
        <v>Consumer</v>
      </c>
      <c r="K229">
        <f t="shared" si="3"/>
        <v>9.0458737766321642E-2</v>
      </c>
    </row>
    <row r="230" spans="1:11" x14ac:dyDescent="0.25">
      <c r="A230" t="s">
        <v>507</v>
      </c>
      <c r="B230" t="s">
        <v>508</v>
      </c>
      <c r="C230" t="s">
        <v>54</v>
      </c>
      <c r="D230" t="s">
        <v>11</v>
      </c>
      <c r="E230">
        <v>3976.44</v>
      </c>
      <c r="F230">
        <v>9</v>
      </c>
      <c r="G230">
        <v>1255.51</v>
      </c>
      <c r="H230">
        <v>0.15</v>
      </c>
      <c r="I230" t="str">
        <f>VLOOKUP(C230,[1]Sheet!$A:$D,3,FALSE)</f>
        <v>West</v>
      </c>
      <c r="J230" t="str">
        <f>VLOOKUP(C230,[1]Sheet!$A:$D,4,FALSE)</f>
        <v>Consumer</v>
      </c>
      <c r="K230">
        <f t="shared" si="3"/>
        <v>0.31573719206124068</v>
      </c>
    </row>
    <row r="231" spans="1:11" x14ac:dyDescent="0.25">
      <c r="A231" t="s">
        <v>509</v>
      </c>
      <c r="B231" t="s">
        <v>510</v>
      </c>
      <c r="C231" t="s">
        <v>68</v>
      </c>
      <c r="D231" t="s">
        <v>15</v>
      </c>
      <c r="E231">
        <v>2419.66</v>
      </c>
      <c r="F231">
        <v>5</v>
      </c>
      <c r="G231">
        <v>147.57</v>
      </c>
      <c r="H231">
        <v>0.1</v>
      </c>
      <c r="I231" t="str">
        <f>VLOOKUP(C231,[1]Sheet!$A:$D,3,FALSE)</f>
        <v>East</v>
      </c>
      <c r="J231" t="str">
        <f>VLOOKUP(C231,[1]Sheet!$A:$D,4,FALSE)</f>
        <v>Corporate</v>
      </c>
      <c r="K231">
        <f t="shared" si="3"/>
        <v>6.0987907391947628E-2</v>
      </c>
    </row>
    <row r="232" spans="1:11" x14ac:dyDescent="0.25">
      <c r="A232" t="s">
        <v>511</v>
      </c>
      <c r="B232" t="s">
        <v>262</v>
      </c>
      <c r="C232" t="s">
        <v>453</v>
      </c>
      <c r="D232" t="s">
        <v>15</v>
      </c>
      <c r="E232">
        <v>334.24</v>
      </c>
      <c r="F232">
        <v>6</v>
      </c>
      <c r="G232">
        <v>82.46</v>
      </c>
      <c r="H232">
        <v>0.15</v>
      </c>
      <c r="I232" t="str">
        <f>VLOOKUP(C232,[1]Sheet!$A:$D,3,FALSE)</f>
        <v>North</v>
      </c>
      <c r="J232" t="str">
        <f>VLOOKUP(C232,[1]Sheet!$A:$D,4,FALSE)</f>
        <v>Home Office</v>
      </c>
      <c r="K232">
        <f t="shared" si="3"/>
        <v>0.24670895165150789</v>
      </c>
    </row>
    <row r="233" spans="1:11" x14ac:dyDescent="0.25">
      <c r="A233" t="s">
        <v>512</v>
      </c>
      <c r="B233" t="s">
        <v>513</v>
      </c>
      <c r="C233" t="s">
        <v>104</v>
      </c>
      <c r="D233" t="s">
        <v>11</v>
      </c>
      <c r="E233">
        <v>3742.21</v>
      </c>
      <c r="F233">
        <v>3</v>
      </c>
      <c r="G233">
        <v>1191.49</v>
      </c>
      <c r="H233">
        <v>0.15</v>
      </c>
      <c r="I233" t="str">
        <f>VLOOKUP(C233,[1]Sheet!$A:$D,3,FALSE)</f>
        <v>South</v>
      </c>
      <c r="J233" t="str">
        <f>VLOOKUP(C233,[1]Sheet!$A:$D,4,FALSE)</f>
        <v>Home Office</v>
      </c>
      <c r="K233">
        <f t="shared" si="3"/>
        <v>0.31839207313325546</v>
      </c>
    </row>
    <row r="234" spans="1:11" x14ac:dyDescent="0.25">
      <c r="A234" t="s">
        <v>514</v>
      </c>
      <c r="B234" t="s">
        <v>515</v>
      </c>
      <c r="C234" t="s">
        <v>215</v>
      </c>
      <c r="D234" t="s">
        <v>11</v>
      </c>
      <c r="E234">
        <v>2537.86</v>
      </c>
      <c r="F234">
        <v>2</v>
      </c>
      <c r="G234">
        <v>830.62</v>
      </c>
      <c r="H234">
        <v>0.15</v>
      </c>
      <c r="I234" t="str">
        <f>VLOOKUP(C234,[1]Sheet!$A:$D,3,FALSE)</f>
        <v>South</v>
      </c>
      <c r="J234" t="str">
        <f>VLOOKUP(C234,[1]Sheet!$A:$D,4,FALSE)</f>
        <v>Corporate</v>
      </c>
      <c r="K234">
        <f t="shared" si="3"/>
        <v>0.32729149756093717</v>
      </c>
    </row>
    <row r="235" spans="1:11" x14ac:dyDescent="0.25">
      <c r="A235" t="s">
        <v>516</v>
      </c>
      <c r="B235" t="s">
        <v>463</v>
      </c>
      <c r="C235" t="s">
        <v>320</v>
      </c>
      <c r="D235" t="s">
        <v>22</v>
      </c>
      <c r="E235">
        <v>2209.98</v>
      </c>
      <c r="F235">
        <v>5</v>
      </c>
      <c r="G235">
        <v>770.24</v>
      </c>
      <c r="H235">
        <v>0.1</v>
      </c>
      <c r="I235" t="str">
        <f>VLOOKUP(C235,[1]Sheet!$A:$D,3,FALSE)</f>
        <v>West</v>
      </c>
      <c r="J235" t="str">
        <f>VLOOKUP(C235,[1]Sheet!$A:$D,4,FALSE)</f>
        <v>Consumer</v>
      </c>
      <c r="K235">
        <f t="shared" si="3"/>
        <v>0.34852804097774642</v>
      </c>
    </row>
    <row r="236" spans="1:11" x14ac:dyDescent="0.25">
      <c r="A236" t="s">
        <v>517</v>
      </c>
      <c r="B236" t="s">
        <v>518</v>
      </c>
      <c r="C236" t="s">
        <v>198</v>
      </c>
      <c r="D236" t="s">
        <v>11</v>
      </c>
      <c r="E236">
        <v>492.34</v>
      </c>
      <c r="F236">
        <v>10</v>
      </c>
      <c r="G236">
        <v>122.24</v>
      </c>
      <c r="H236">
        <v>0.15</v>
      </c>
      <c r="I236" t="str">
        <f>VLOOKUP(C236,[1]Sheet!$A:$D,3,FALSE)</f>
        <v>South</v>
      </c>
      <c r="J236" t="str">
        <f>VLOOKUP(C236,[1]Sheet!$A:$D,4,FALSE)</f>
        <v>Home Office</v>
      </c>
      <c r="K236">
        <f t="shared" si="3"/>
        <v>0.24828370638176869</v>
      </c>
    </row>
    <row r="237" spans="1:11" x14ac:dyDescent="0.25">
      <c r="A237" t="s">
        <v>519</v>
      </c>
      <c r="B237" t="s">
        <v>87</v>
      </c>
      <c r="C237" t="s">
        <v>187</v>
      </c>
      <c r="D237" t="s">
        <v>22</v>
      </c>
      <c r="E237">
        <v>3479.85</v>
      </c>
      <c r="F237">
        <v>6</v>
      </c>
      <c r="G237">
        <v>540.99</v>
      </c>
      <c r="H237">
        <v>0.2</v>
      </c>
      <c r="I237" t="str">
        <f>VLOOKUP(C237,[1]Sheet!$A:$D,3,FALSE)</f>
        <v>West</v>
      </c>
      <c r="J237" t="str">
        <f>VLOOKUP(C237,[1]Sheet!$A:$D,4,FALSE)</f>
        <v>Home Office</v>
      </c>
      <c r="K237">
        <f t="shared" si="3"/>
        <v>0.15546359756886075</v>
      </c>
    </row>
    <row r="238" spans="1:11" x14ac:dyDescent="0.25">
      <c r="A238" t="s">
        <v>520</v>
      </c>
      <c r="B238" t="s">
        <v>42</v>
      </c>
      <c r="C238" t="s">
        <v>127</v>
      </c>
      <c r="D238" t="s">
        <v>15</v>
      </c>
      <c r="E238">
        <v>1445.32</v>
      </c>
      <c r="F238">
        <v>7</v>
      </c>
      <c r="G238">
        <v>497.2</v>
      </c>
      <c r="H238">
        <v>0.1</v>
      </c>
      <c r="I238" t="str">
        <f>VLOOKUP(C238,[1]Sheet!$A:$D,3,FALSE)</f>
        <v>South</v>
      </c>
      <c r="J238" t="str">
        <f>VLOOKUP(C238,[1]Sheet!$A:$D,4,FALSE)</f>
        <v>Consumer</v>
      </c>
      <c r="K238">
        <f t="shared" si="3"/>
        <v>0.34400686353195142</v>
      </c>
    </row>
    <row r="239" spans="1:11" x14ac:dyDescent="0.25">
      <c r="A239" t="s">
        <v>521</v>
      </c>
      <c r="B239" t="s">
        <v>522</v>
      </c>
      <c r="C239" t="s">
        <v>132</v>
      </c>
      <c r="D239" t="s">
        <v>15</v>
      </c>
      <c r="E239">
        <v>4025.37</v>
      </c>
      <c r="F239">
        <v>10</v>
      </c>
      <c r="G239">
        <v>1021.73</v>
      </c>
      <c r="H239">
        <v>0.15</v>
      </c>
      <c r="I239" t="str">
        <f>VLOOKUP(C239,[1]Sheet!$A:$D,3,FALSE)</f>
        <v>North</v>
      </c>
      <c r="J239" t="str">
        <f>VLOOKUP(C239,[1]Sheet!$A:$D,4,FALSE)</f>
        <v>Home Office</v>
      </c>
      <c r="K239">
        <f t="shared" si="3"/>
        <v>0.25382262996941896</v>
      </c>
    </row>
    <row r="240" spans="1:11" x14ac:dyDescent="0.25">
      <c r="A240" t="s">
        <v>523</v>
      </c>
      <c r="B240" t="s">
        <v>524</v>
      </c>
      <c r="C240" t="s">
        <v>484</v>
      </c>
      <c r="D240" t="s">
        <v>11</v>
      </c>
      <c r="E240">
        <v>718.53</v>
      </c>
      <c r="F240">
        <v>6</v>
      </c>
      <c r="G240">
        <v>86.8</v>
      </c>
      <c r="H240">
        <v>0.15</v>
      </c>
      <c r="I240" t="str">
        <f>VLOOKUP(C240,[1]Sheet!$A:$D,3,FALSE)</f>
        <v>North</v>
      </c>
      <c r="J240" t="str">
        <f>VLOOKUP(C240,[1]Sheet!$A:$D,4,FALSE)</f>
        <v>Home Office</v>
      </c>
      <c r="K240">
        <f t="shared" si="3"/>
        <v>0.12080219336701321</v>
      </c>
    </row>
    <row r="241" spans="1:11" x14ac:dyDescent="0.25">
      <c r="A241" t="s">
        <v>525</v>
      </c>
      <c r="B241" t="s">
        <v>526</v>
      </c>
      <c r="C241" t="s">
        <v>62</v>
      </c>
      <c r="D241" t="s">
        <v>11</v>
      </c>
      <c r="E241">
        <v>258.69</v>
      </c>
      <c r="F241">
        <v>6</v>
      </c>
      <c r="G241">
        <v>24.84</v>
      </c>
      <c r="H241">
        <v>0.15</v>
      </c>
      <c r="I241" t="str">
        <f>VLOOKUP(C241,[1]Sheet!$A:$D,3,FALSE)</f>
        <v>East</v>
      </c>
      <c r="J241" t="str">
        <f>VLOOKUP(C241,[1]Sheet!$A:$D,4,FALSE)</f>
        <v>Home Office</v>
      </c>
      <c r="K241">
        <f t="shared" si="3"/>
        <v>9.6022266032703238E-2</v>
      </c>
    </row>
    <row r="242" spans="1:11" x14ac:dyDescent="0.25">
      <c r="A242" t="s">
        <v>527</v>
      </c>
      <c r="B242" t="s">
        <v>341</v>
      </c>
      <c r="C242" t="s">
        <v>227</v>
      </c>
      <c r="D242" t="s">
        <v>11</v>
      </c>
      <c r="E242">
        <v>476.74</v>
      </c>
      <c r="F242">
        <v>6</v>
      </c>
      <c r="G242">
        <v>43.53</v>
      </c>
      <c r="H242">
        <v>0.1</v>
      </c>
      <c r="I242" t="str">
        <f>VLOOKUP(C242,[1]Sheet!$A:$D,3,FALSE)</f>
        <v>South</v>
      </c>
      <c r="J242" t="str">
        <f>VLOOKUP(C242,[1]Sheet!$A:$D,4,FALSE)</f>
        <v>Home Office</v>
      </c>
      <c r="K242">
        <f t="shared" si="3"/>
        <v>9.1307630993833114E-2</v>
      </c>
    </row>
    <row r="243" spans="1:11" x14ac:dyDescent="0.25">
      <c r="A243" t="s">
        <v>528</v>
      </c>
      <c r="B243" t="s">
        <v>48</v>
      </c>
      <c r="C243" t="s">
        <v>141</v>
      </c>
      <c r="D243" t="s">
        <v>11</v>
      </c>
      <c r="E243">
        <v>4806.55</v>
      </c>
      <c r="F243">
        <v>9</v>
      </c>
      <c r="G243">
        <v>277.69</v>
      </c>
      <c r="H243">
        <v>0.15</v>
      </c>
      <c r="I243" t="str">
        <f>VLOOKUP(C243,[1]Sheet!$A:$D,3,FALSE)</f>
        <v>East</v>
      </c>
      <c r="J243" t="str">
        <f>VLOOKUP(C243,[1]Sheet!$A:$D,4,FALSE)</f>
        <v>Corporate</v>
      </c>
      <c r="K243">
        <f t="shared" si="3"/>
        <v>5.7773246923469017E-2</v>
      </c>
    </row>
    <row r="244" spans="1:11" x14ac:dyDescent="0.25">
      <c r="A244" t="s">
        <v>529</v>
      </c>
      <c r="B244" t="s">
        <v>530</v>
      </c>
      <c r="C244" t="s">
        <v>243</v>
      </c>
      <c r="D244" t="s">
        <v>11</v>
      </c>
      <c r="E244">
        <v>677.03</v>
      </c>
      <c r="F244">
        <v>4</v>
      </c>
      <c r="G244">
        <v>191.25</v>
      </c>
      <c r="H244">
        <v>0.2</v>
      </c>
      <c r="I244" t="str">
        <f>VLOOKUP(C244,[1]Sheet!$A:$D,3,FALSE)</f>
        <v>North</v>
      </c>
      <c r="J244" t="str">
        <f>VLOOKUP(C244,[1]Sheet!$A:$D,4,FALSE)</f>
        <v>Home Office</v>
      </c>
      <c r="K244">
        <f t="shared" si="3"/>
        <v>0.28248378949234154</v>
      </c>
    </row>
    <row r="245" spans="1:11" x14ac:dyDescent="0.25">
      <c r="A245" t="s">
        <v>531</v>
      </c>
      <c r="B245" t="s">
        <v>532</v>
      </c>
      <c r="C245" t="s">
        <v>324</v>
      </c>
      <c r="D245" t="s">
        <v>15</v>
      </c>
      <c r="E245">
        <v>3500.51</v>
      </c>
      <c r="F245">
        <v>3</v>
      </c>
      <c r="G245">
        <v>1223.74</v>
      </c>
      <c r="H245">
        <v>0</v>
      </c>
      <c r="I245" t="str">
        <f>VLOOKUP(C245,[1]Sheet!$A:$D,3,FALSE)</f>
        <v>North</v>
      </c>
      <c r="J245" t="str">
        <f>VLOOKUP(C245,[1]Sheet!$A:$D,4,FALSE)</f>
        <v>Home Office</v>
      </c>
      <c r="K245">
        <f t="shared" si="3"/>
        <v>0.34958905987984606</v>
      </c>
    </row>
    <row r="246" spans="1:11" x14ac:dyDescent="0.25">
      <c r="A246" t="s">
        <v>533</v>
      </c>
      <c r="B246" t="s">
        <v>534</v>
      </c>
      <c r="C246" t="s">
        <v>151</v>
      </c>
      <c r="D246" t="s">
        <v>22</v>
      </c>
      <c r="E246">
        <v>946.02</v>
      </c>
      <c r="F246">
        <v>6</v>
      </c>
      <c r="G246">
        <v>249.76</v>
      </c>
      <c r="H246">
        <v>0.1</v>
      </c>
      <c r="I246" t="str">
        <f>VLOOKUP(C246,[1]Sheet!$A:$D,3,FALSE)</f>
        <v>North</v>
      </c>
      <c r="J246" t="str">
        <f>VLOOKUP(C246,[1]Sheet!$A:$D,4,FALSE)</f>
        <v>Consumer</v>
      </c>
      <c r="K246">
        <f t="shared" si="3"/>
        <v>0.26401133168431956</v>
      </c>
    </row>
    <row r="247" spans="1:11" x14ac:dyDescent="0.25">
      <c r="A247" t="s">
        <v>535</v>
      </c>
      <c r="B247" t="s">
        <v>536</v>
      </c>
      <c r="C247" t="s">
        <v>157</v>
      </c>
      <c r="D247" t="s">
        <v>15</v>
      </c>
      <c r="E247">
        <v>418.2</v>
      </c>
      <c r="F247">
        <v>3</v>
      </c>
      <c r="G247">
        <v>88.93</v>
      </c>
      <c r="H247">
        <v>0.1</v>
      </c>
      <c r="I247" t="str">
        <f>VLOOKUP(C247,[1]Sheet!$A:$D,3,FALSE)</f>
        <v>South</v>
      </c>
      <c r="J247" t="str">
        <f>VLOOKUP(C247,[1]Sheet!$A:$D,4,FALSE)</f>
        <v>Home Office</v>
      </c>
      <c r="K247">
        <f t="shared" si="3"/>
        <v>0.21264945002391203</v>
      </c>
    </row>
    <row r="248" spans="1:11" x14ac:dyDescent="0.25">
      <c r="A248" t="s">
        <v>537</v>
      </c>
      <c r="B248" t="s">
        <v>538</v>
      </c>
      <c r="C248" t="s">
        <v>132</v>
      </c>
      <c r="D248" t="s">
        <v>15</v>
      </c>
      <c r="E248">
        <v>1198.78</v>
      </c>
      <c r="F248">
        <v>8</v>
      </c>
      <c r="G248">
        <v>414.23</v>
      </c>
      <c r="H248">
        <v>0</v>
      </c>
      <c r="I248" t="str">
        <f>VLOOKUP(C248,[1]Sheet!$A:$D,3,FALSE)</f>
        <v>North</v>
      </c>
      <c r="J248" t="str">
        <f>VLOOKUP(C248,[1]Sheet!$A:$D,4,FALSE)</f>
        <v>Home Office</v>
      </c>
      <c r="K248">
        <f t="shared" si="3"/>
        <v>0.34554296868482959</v>
      </c>
    </row>
    <row r="249" spans="1:11" x14ac:dyDescent="0.25">
      <c r="A249" t="s">
        <v>539</v>
      </c>
      <c r="B249" t="s">
        <v>248</v>
      </c>
      <c r="C249" t="s">
        <v>116</v>
      </c>
      <c r="D249" t="s">
        <v>15</v>
      </c>
      <c r="E249">
        <v>2814.71</v>
      </c>
      <c r="F249">
        <v>10</v>
      </c>
      <c r="G249">
        <v>452.25</v>
      </c>
      <c r="H249">
        <v>0</v>
      </c>
      <c r="I249" t="str">
        <f>VLOOKUP(C249,[1]Sheet!$A:$D,3,FALSE)</f>
        <v>South</v>
      </c>
      <c r="J249" t="str">
        <f>VLOOKUP(C249,[1]Sheet!$A:$D,4,FALSE)</f>
        <v>Home Office</v>
      </c>
      <c r="K249">
        <f t="shared" si="3"/>
        <v>0.16067374614081023</v>
      </c>
    </row>
    <row r="250" spans="1:11" x14ac:dyDescent="0.25">
      <c r="A250" t="s">
        <v>540</v>
      </c>
      <c r="B250" t="s">
        <v>379</v>
      </c>
      <c r="C250" t="s">
        <v>311</v>
      </c>
      <c r="D250" t="s">
        <v>22</v>
      </c>
      <c r="E250">
        <v>1615.52</v>
      </c>
      <c r="F250">
        <v>7</v>
      </c>
      <c r="G250">
        <v>565.24</v>
      </c>
      <c r="H250">
        <v>0.15</v>
      </c>
      <c r="I250" t="str">
        <f>VLOOKUP(C250,[1]Sheet!$A:$D,3,FALSE)</f>
        <v>North</v>
      </c>
      <c r="J250" t="str">
        <f>VLOOKUP(C250,[1]Sheet!$A:$D,4,FALSE)</f>
        <v>Home Office</v>
      </c>
      <c r="K250">
        <f t="shared" si="3"/>
        <v>0.34988115281766863</v>
      </c>
    </row>
    <row r="251" spans="1:11" x14ac:dyDescent="0.25">
      <c r="A251" t="s">
        <v>541</v>
      </c>
      <c r="B251" t="s">
        <v>542</v>
      </c>
      <c r="C251" t="s">
        <v>235</v>
      </c>
      <c r="D251" t="s">
        <v>15</v>
      </c>
      <c r="E251">
        <v>461.38</v>
      </c>
      <c r="F251">
        <v>8</v>
      </c>
      <c r="G251">
        <v>157.66</v>
      </c>
      <c r="H251">
        <v>0.15</v>
      </c>
      <c r="I251" t="str">
        <f>VLOOKUP(C251,[1]Sheet!$A:$D,3,FALSE)</f>
        <v>South</v>
      </c>
      <c r="J251" t="str">
        <f>VLOOKUP(C251,[1]Sheet!$A:$D,4,FALSE)</f>
        <v>Home Office</v>
      </c>
      <c r="K251">
        <f t="shared" si="3"/>
        <v>0.34171398846937451</v>
      </c>
    </row>
    <row r="252" spans="1:11" x14ac:dyDescent="0.25">
      <c r="A252" t="s">
        <v>543</v>
      </c>
      <c r="B252" t="s">
        <v>248</v>
      </c>
      <c r="C252" t="s">
        <v>76</v>
      </c>
      <c r="D252" t="s">
        <v>22</v>
      </c>
      <c r="E252">
        <v>2635.06</v>
      </c>
      <c r="F252">
        <v>10</v>
      </c>
      <c r="G252">
        <v>233.2</v>
      </c>
      <c r="H252">
        <v>0.05</v>
      </c>
      <c r="I252" t="str">
        <f>VLOOKUP(C252,[1]Sheet!$A:$D,3,FALSE)</f>
        <v>West</v>
      </c>
      <c r="J252" t="str">
        <f>VLOOKUP(C252,[1]Sheet!$A:$D,4,FALSE)</f>
        <v>Home Office</v>
      </c>
      <c r="K252">
        <f t="shared" si="3"/>
        <v>8.8498933610619876E-2</v>
      </c>
    </row>
    <row r="253" spans="1:11" x14ac:dyDescent="0.25">
      <c r="A253" t="s">
        <v>544</v>
      </c>
      <c r="B253" t="s">
        <v>545</v>
      </c>
      <c r="C253" t="s">
        <v>466</v>
      </c>
      <c r="D253" t="s">
        <v>15</v>
      </c>
      <c r="E253">
        <v>4834.7</v>
      </c>
      <c r="F253">
        <v>9</v>
      </c>
      <c r="G253">
        <v>869.21</v>
      </c>
      <c r="H253">
        <v>0.05</v>
      </c>
      <c r="I253" t="str">
        <f>VLOOKUP(C253,[1]Sheet!$A:$D,3,FALSE)</f>
        <v>South</v>
      </c>
      <c r="J253" t="str">
        <f>VLOOKUP(C253,[1]Sheet!$A:$D,4,FALSE)</f>
        <v>Consumer</v>
      </c>
      <c r="K253">
        <f t="shared" si="3"/>
        <v>0.17978571576312907</v>
      </c>
    </row>
    <row r="254" spans="1:11" x14ac:dyDescent="0.25">
      <c r="A254" t="s">
        <v>546</v>
      </c>
      <c r="B254" t="s">
        <v>547</v>
      </c>
      <c r="C254" t="s">
        <v>71</v>
      </c>
      <c r="D254" t="s">
        <v>15</v>
      </c>
      <c r="E254">
        <v>906.82</v>
      </c>
      <c r="F254">
        <v>6</v>
      </c>
      <c r="G254">
        <v>133.12</v>
      </c>
      <c r="H254">
        <v>0.2</v>
      </c>
      <c r="I254" t="str">
        <f>VLOOKUP(C254,[1]Sheet!$A:$D,3,FALSE)</f>
        <v>South</v>
      </c>
      <c r="J254" t="str">
        <f>VLOOKUP(C254,[1]Sheet!$A:$D,4,FALSE)</f>
        <v>Consumer</v>
      </c>
      <c r="K254">
        <f t="shared" si="3"/>
        <v>0.14679870316049493</v>
      </c>
    </row>
    <row r="255" spans="1:11" x14ac:dyDescent="0.25">
      <c r="A255" t="s">
        <v>548</v>
      </c>
      <c r="B255" t="s">
        <v>438</v>
      </c>
      <c r="C255" t="s">
        <v>324</v>
      </c>
      <c r="D255" t="s">
        <v>22</v>
      </c>
      <c r="E255">
        <v>4245.08</v>
      </c>
      <c r="F255">
        <v>5</v>
      </c>
      <c r="G255">
        <v>531.41</v>
      </c>
      <c r="H255">
        <v>0.05</v>
      </c>
      <c r="I255" t="str">
        <f>VLOOKUP(C255,[1]Sheet!$A:$D,3,FALSE)</f>
        <v>North</v>
      </c>
      <c r="J255" t="str">
        <f>VLOOKUP(C255,[1]Sheet!$A:$D,4,FALSE)</f>
        <v>Home Office</v>
      </c>
      <c r="K255">
        <f t="shared" si="3"/>
        <v>0.1251825642861854</v>
      </c>
    </row>
    <row r="256" spans="1:11" x14ac:dyDescent="0.25">
      <c r="A256" t="s">
        <v>549</v>
      </c>
      <c r="B256" t="s">
        <v>472</v>
      </c>
      <c r="C256" t="s">
        <v>10</v>
      </c>
      <c r="D256" t="s">
        <v>22</v>
      </c>
      <c r="E256">
        <v>1583.84</v>
      </c>
      <c r="F256">
        <v>3</v>
      </c>
      <c r="G256">
        <v>332.68</v>
      </c>
      <c r="H256">
        <v>0.2</v>
      </c>
      <c r="I256" t="str">
        <f>VLOOKUP(C256,[1]Sheet!$A:$D,3,FALSE)</f>
        <v>North</v>
      </c>
      <c r="J256" t="str">
        <f>VLOOKUP(C256,[1]Sheet!$A:$D,4,FALSE)</f>
        <v>Consumer</v>
      </c>
      <c r="K256">
        <f t="shared" si="3"/>
        <v>0.21004646934033741</v>
      </c>
    </row>
    <row r="257" spans="1:11" x14ac:dyDescent="0.25">
      <c r="A257" t="s">
        <v>550</v>
      </c>
      <c r="B257" t="s">
        <v>73</v>
      </c>
      <c r="C257" t="s">
        <v>88</v>
      </c>
      <c r="D257" t="s">
        <v>11</v>
      </c>
      <c r="E257">
        <v>855.55</v>
      </c>
      <c r="F257">
        <v>10</v>
      </c>
      <c r="G257">
        <v>211.85</v>
      </c>
      <c r="H257">
        <v>0</v>
      </c>
      <c r="I257" t="str">
        <f>VLOOKUP(C257,[1]Sheet!$A:$D,3,FALSE)</f>
        <v>North</v>
      </c>
      <c r="J257" t="str">
        <f>VLOOKUP(C257,[1]Sheet!$A:$D,4,FALSE)</f>
        <v>Home Office</v>
      </c>
      <c r="K257">
        <f t="shared" si="3"/>
        <v>0.24761849102916253</v>
      </c>
    </row>
    <row r="258" spans="1:11" x14ac:dyDescent="0.25">
      <c r="A258" t="s">
        <v>551</v>
      </c>
      <c r="B258" t="s">
        <v>552</v>
      </c>
      <c r="C258" t="s">
        <v>97</v>
      </c>
      <c r="D258" t="s">
        <v>11</v>
      </c>
      <c r="E258">
        <v>497.99</v>
      </c>
      <c r="F258">
        <v>4</v>
      </c>
      <c r="G258">
        <v>166.61</v>
      </c>
      <c r="H258">
        <v>0.2</v>
      </c>
      <c r="I258" t="str">
        <f>VLOOKUP(C258,[1]Sheet!$A:$D,3,FALSE)</f>
        <v>North</v>
      </c>
      <c r="J258" t="str">
        <f>VLOOKUP(C258,[1]Sheet!$A:$D,4,FALSE)</f>
        <v>Home Office</v>
      </c>
      <c r="K258">
        <f t="shared" si="3"/>
        <v>0.33456495110343581</v>
      </c>
    </row>
    <row r="259" spans="1:11" x14ac:dyDescent="0.25">
      <c r="A259" t="s">
        <v>553</v>
      </c>
      <c r="B259" t="s">
        <v>554</v>
      </c>
      <c r="C259" t="s">
        <v>138</v>
      </c>
      <c r="D259" t="s">
        <v>22</v>
      </c>
      <c r="E259">
        <v>3128.73</v>
      </c>
      <c r="F259">
        <v>5</v>
      </c>
      <c r="G259">
        <v>184.86</v>
      </c>
      <c r="H259">
        <v>0.1</v>
      </c>
      <c r="I259" t="str">
        <f>VLOOKUP(C259,[1]Sheet!$A:$D,3,FALSE)</f>
        <v>West</v>
      </c>
      <c r="J259" t="str">
        <f>VLOOKUP(C259,[1]Sheet!$A:$D,4,FALSE)</f>
        <v>Home Office</v>
      </c>
      <c r="K259">
        <f t="shared" ref="K259:K322" si="4">G259/E259</f>
        <v>5.9084676530093687E-2</v>
      </c>
    </row>
    <row r="260" spans="1:11" x14ac:dyDescent="0.25">
      <c r="A260" t="s">
        <v>555</v>
      </c>
      <c r="B260" t="s">
        <v>556</v>
      </c>
      <c r="C260" t="s">
        <v>238</v>
      </c>
      <c r="D260" t="s">
        <v>11</v>
      </c>
      <c r="E260">
        <v>1299.9000000000001</v>
      </c>
      <c r="F260">
        <v>8</v>
      </c>
      <c r="G260">
        <v>379.84</v>
      </c>
      <c r="H260">
        <v>0</v>
      </c>
      <c r="I260" t="str">
        <f>VLOOKUP(C260,[1]Sheet!$A:$D,3,FALSE)</f>
        <v>North</v>
      </c>
      <c r="J260" t="str">
        <f>VLOOKUP(C260,[1]Sheet!$A:$D,4,FALSE)</f>
        <v>Corporate</v>
      </c>
      <c r="K260">
        <f t="shared" si="4"/>
        <v>0.29220709285329638</v>
      </c>
    </row>
    <row r="261" spans="1:11" x14ac:dyDescent="0.25">
      <c r="A261" t="s">
        <v>557</v>
      </c>
      <c r="B261" t="s">
        <v>226</v>
      </c>
      <c r="C261" t="s">
        <v>215</v>
      </c>
      <c r="D261" t="s">
        <v>11</v>
      </c>
      <c r="E261">
        <v>393.57</v>
      </c>
      <c r="F261">
        <v>4</v>
      </c>
      <c r="G261">
        <v>71.58</v>
      </c>
      <c r="H261">
        <v>0.1</v>
      </c>
      <c r="I261" t="str">
        <f>VLOOKUP(C261,[1]Sheet!$A:$D,3,FALSE)</f>
        <v>South</v>
      </c>
      <c r="J261" t="str">
        <f>VLOOKUP(C261,[1]Sheet!$A:$D,4,FALSE)</f>
        <v>Corporate</v>
      </c>
      <c r="K261">
        <f t="shared" si="4"/>
        <v>0.1818736184160378</v>
      </c>
    </row>
    <row r="262" spans="1:11" x14ac:dyDescent="0.25">
      <c r="A262" t="s">
        <v>558</v>
      </c>
      <c r="B262" t="s">
        <v>559</v>
      </c>
      <c r="C262" t="s">
        <v>333</v>
      </c>
      <c r="D262" t="s">
        <v>22</v>
      </c>
      <c r="E262">
        <v>803.98</v>
      </c>
      <c r="F262">
        <v>6</v>
      </c>
      <c r="G262">
        <v>247.98</v>
      </c>
      <c r="H262">
        <v>0.15</v>
      </c>
      <c r="I262" t="str">
        <f>VLOOKUP(C262,[1]Sheet!$A:$D,3,FALSE)</f>
        <v>East</v>
      </c>
      <c r="J262" t="str">
        <f>VLOOKUP(C262,[1]Sheet!$A:$D,4,FALSE)</f>
        <v>Consumer</v>
      </c>
      <c r="K262">
        <f t="shared" si="4"/>
        <v>0.30844050847035992</v>
      </c>
    </row>
    <row r="263" spans="1:11" x14ac:dyDescent="0.25">
      <c r="A263" t="s">
        <v>560</v>
      </c>
      <c r="B263" t="s">
        <v>140</v>
      </c>
      <c r="C263" t="s">
        <v>184</v>
      </c>
      <c r="D263" t="s">
        <v>11</v>
      </c>
      <c r="E263">
        <v>3827.26</v>
      </c>
      <c r="F263">
        <v>4</v>
      </c>
      <c r="G263">
        <v>782.65</v>
      </c>
      <c r="H263">
        <v>0.15</v>
      </c>
      <c r="I263" t="str">
        <f>VLOOKUP(C263,[1]Sheet!$A:$D,3,FALSE)</f>
        <v>South</v>
      </c>
      <c r="J263" t="str">
        <f>VLOOKUP(C263,[1]Sheet!$A:$D,4,FALSE)</f>
        <v>Corporate</v>
      </c>
      <c r="K263">
        <f t="shared" si="4"/>
        <v>0.2044935541353344</v>
      </c>
    </row>
    <row r="264" spans="1:11" x14ac:dyDescent="0.25">
      <c r="A264" t="s">
        <v>561</v>
      </c>
      <c r="B264" t="s">
        <v>392</v>
      </c>
      <c r="C264" t="s">
        <v>193</v>
      </c>
      <c r="D264" t="s">
        <v>15</v>
      </c>
      <c r="E264">
        <v>1410.61</v>
      </c>
      <c r="F264">
        <v>5</v>
      </c>
      <c r="G264">
        <v>175.45</v>
      </c>
      <c r="H264">
        <v>0.15</v>
      </c>
      <c r="I264" t="str">
        <f>VLOOKUP(C264,[1]Sheet!$A:$D,3,FALSE)</f>
        <v>East</v>
      </c>
      <c r="J264" t="str">
        <f>VLOOKUP(C264,[1]Sheet!$A:$D,4,FALSE)</f>
        <v>Consumer</v>
      </c>
      <c r="K264">
        <f t="shared" si="4"/>
        <v>0.12437881483897037</v>
      </c>
    </row>
    <row r="265" spans="1:11" x14ac:dyDescent="0.25">
      <c r="A265" t="s">
        <v>562</v>
      </c>
      <c r="B265" t="s">
        <v>563</v>
      </c>
      <c r="C265" t="s">
        <v>124</v>
      </c>
      <c r="D265" t="s">
        <v>11</v>
      </c>
      <c r="E265">
        <v>2148.86</v>
      </c>
      <c r="F265">
        <v>10</v>
      </c>
      <c r="G265">
        <v>728.05</v>
      </c>
      <c r="H265">
        <v>0.1</v>
      </c>
      <c r="I265" t="str">
        <f>VLOOKUP(C265,[1]Sheet!$A:$D,3,FALSE)</f>
        <v>North</v>
      </c>
      <c r="J265" t="str">
        <f>VLOOKUP(C265,[1]Sheet!$A:$D,4,FALSE)</f>
        <v>Home Office</v>
      </c>
      <c r="K265">
        <f t="shared" si="4"/>
        <v>0.33880755377269806</v>
      </c>
    </row>
    <row r="266" spans="1:11" x14ac:dyDescent="0.25">
      <c r="A266" t="s">
        <v>564</v>
      </c>
      <c r="B266" t="s">
        <v>491</v>
      </c>
      <c r="C266" t="s">
        <v>113</v>
      </c>
      <c r="D266" t="s">
        <v>11</v>
      </c>
      <c r="E266">
        <v>3839.29</v>
      </c>
      <c r="F266">
        <v>8</v>
      </c>
      <c r="G266">
        <v>765.86</v>
      </c>
      <c r="H266">
        <v>0.1</v>
      </c>
      <c r="I266" t="str">
        <f>VLOOKUP(C266,[1]Sheet!$A:$D,3,FALSE)</f>
        <v>East</v>
      </c>
      <c r="J266" t="str">
        <f>VLOOKUP(C266,[1]Sheet!$A:$D,4,FALSE)</f>
        <v>Home Office</v>
      </c>
      <c r="K266">
        <f t="shared" si="4"/>
        <v>0.1994795912785958</v>
      </c>
    </row>
    <row r="267" spans="1:11" x14ac:dyDescent="0.25">
      <c r="A267" t="s">
        <v>565</v>
      </c>
      <c r="B267" t="s">
        <v>566</v>
      </c>
      <c r="C267" t="s">
        <v>492</v>
      </c>
      <c r="D267" t="s">
        <v>11</v>
      </c>
      <c r="E267">
        <v>213.56</v>
      </c>
      <c r="F267">
        <v>4</v>
      </c>
      <c r="G267">
        <v>71.239999999999995</v>
      </c>
      <c r="H267">
        <v>0.05</v>
      </c>
      <c r="I267" t="str">
        <f>VLOOKUP(C267,[1]Sheet!$A:$D,3,FALSE)</f>
        <v>West</v>
      </c>
      <c r="J267" t="str">
        <f>VLOOKUP(C267,[1]Sheet!$A:$D,4,FALSE)</f>
        <v>Home Office</v>
      </c>
      <c r="K267">
        <f t="shared" si="4"/>
        <v>0.33358306799026033</v>
      </c>
    </row>
    <row r="268" spans="1:11" x14ac:dyDescent="0.25">
      <c r="A268" t="s">
        <v>567</v>
      </c>
      <c r="B268" t="s">
        <v>568</v>
      </c>
      <c r="C268" t="s">
        <v>88</v>
      </c>
      <c r="D268" t="s">
        <v>22</v>
      </c>
      <c r="E268">
        <v>1829.19</v>
      </c>
      <c r="F268">
        <v>8</v>
      </c>
      <c r="G268">
        <v>119.19</v>
      </c>
      <c r="H268">
        <v>0.1</v>
      </c>
      <c r="I268" t="str">
        <f>VLOOKUP(C268,[1]Sheet!$A:$D,3,FALSE)</f>
        <v>North</v>
      </c>
      <c r="J268" t="str">
        <f>VLOOKUP(C268,[1]Sheet!$A:$D,4,FALSE)</f>
        <v>Home Office</v>
      </c>
      <c r="K268">
        <f t="shared" si="4"/>
        <v>6.5159988847522665E-2</v>
      </c>
    </row>
    <row r="269" spans="1:11" x14ac:dyDescent="0.25">
      <c r="A269" t="s">
        <v>569</v>
      </c>
      <c r="B269" t="s">
        <v>70</v>
      </c>
      <c r="C269" t="s">
        <v>28</v>
      </c>
      <c r="D269" t="s">
        <v>11</v>
      </c>
      <c r="E269">
        <v>140.07</v>
      </c>
      <c r="F269">
        <v>6</v>
      </c>
      <c r="G269">
        <v>11.52</v>
      </c>
      <c r="H269">
        <v>0.15</v>
      </c>
      <c r="I269" t="str">
        <f>VLOOKUP(C269,[1]Sheet!$A:$D,3,FALSE)</f>
        <v>East</v>
      </c>
      <c r="J269" t="str">
        <f>VLOOKUP(C269,[1]Sheet!$A:$D,4,FALSE)</f>
        <v>Consumer</v>
      </c>
      <c r="K269">
        <f t="shared" si="4"/>
        <v>8.2244591989719423E-2</v>
      </c>
    </row>
    <row r="270" spans="1:11" x14ac:dyDescent="0.25">
      <c r="A270" t="s">
        <v>570</v>
      </c>
      <c r="B270" t="s">
        <v>350</v>
      </c>
      <c r="C270" t="s">
        <v>116</v>
      </c>
      <c r="D270" t="s">
        <v>15</v>
      </c>
      <c r="E270">
        <v>321.69</v>
      </c>
      <c r="F270">
        <v>6</v>
      </c>
      <c r="G270">
        <v>21.02</v>
      </c>
      <c r="H270">
        <v>0.2</v>
      </c>
      <c r="I270" t="str">
        <f>VLOOKUP(C270,[1]Sheet!$A:$D,3,FALSE)</f>
        <v>South</v>
      </c>
      <c r="J270" t="str">
        <f>VLOOKUP(C270,[1]Sheet!$A:$D,4,FALSE)</f>
        <v>Home Office</v>
      </c>
      <c r="K270">
        <f t="shared" si="4"/>
        <v>6.5342410395100872E-2</v>
      </c>
    </row>
    <row r="271" spans="1:11" x14ac:dyDescent="0.25">
      <c r="A271" t="s">
        <v>571</v>
      </c>
      <c r="B271" t="s">
        <v>220</v>
      </c>
      <c r="C271" t="s">
        <v>324</v>
      </c>
      <c r="D271" t="s">
        <v>11</v>
      </c>
      <c r="E271">
        <v>460.31</v>
      </c>
      <c r="F271">
        <v>10</v>
      </c>
      <c r="G271">
        <v>92.65</v>
      </c>
      <c r="H271">
        <v>0.2</v>
      </c>
      <c r="I271" t="str">
        <f>VLOOKUP(C271,[1]Sheet!$A:$D,3,FALSE)</f>
        <v>North</v>
      </c>
      <c r="J271" t="str">
        <f>VLOOKUP(C271,[1]Sheet!$A:$D,4,FALSE)</f>
        <v>Home Office</v>
      </c>
      <c r="K271">
        <f t="shared" si="4"/>
        <v>0.20127740001303471</v>
      </c>
    </row>
    <row r="272" spans="1:11" x14ac:dyDescent="0.25">
      <c r="A272" t="s">
        <v>572</v>
      </c>
      <c r="B272" t="s">
        <v>573</v>
      </c>
      <c r="C272" t="s">
        <v>193</v>
      </c>
      <c r="D272" t="s">
        <v>11</v>
      </c>
      <c r="E272">
        <v>730.45</v>
      </c>
      <c r="F272">
        <v>9</v>
      </c>
      <c r="G272">
        <v>57.71</v>
      </c>
      <c r="H272">
        <v>0.1</v>
      </c>
      <c r="I272" t="str">
        <f>VLOOKUP(C272,[1]Sheet!$A:$D,3,FALSE)</f>
        <v>East</v>
      </c>
      <c r="J272" t="str">
        <f>VLOOKUP(C272,[1]Sheet!$A:$D,4,FALSE)</f>
        <v>Consumer</v>
      </c>
      <c r="K272">
        <f t="shared" si="4"/>
        <v>7.9006092134985273E-2</v>
      </c>
    </row>
    <row r="273" spans="1:11" x14ac:dyDescent="0.25">
      <c r="A273" t="s">
        <v>574</v>
      </c>
      <c r="B273" t="s">
        <v>275</v>
      </c>
      <c r="C273" t="s">
        <v>181</v>
      </c>
      <c r="D273" t="s">
        <v>22</v>
      </c>
      <c r="E273">
        <v>806.91</v>
      </c>
      <c r="F273">
        <v>1</v>
      </c>
      <c r="G273">
        <v>186.19</v>
      </c>
      <c r="H273">
        <v>0</v>
      </c>
      <c r="I273" t="str">
        <f>VLOOKUP(C273,[1]Sheet!$A:$D,3,FALSE)</f>
        <v>North</v>
      </c>
      <c r="J273" t="str">
        <f>VLOOKUP(C273,[1]Sheet!$A:$D,4,FALSE)</f>
        <v>Home Office</v>
      </c>
      <c r="K273">
        <f t="shared" si="4"/>
        <v>0.23074444485754297</v>
      </c>
    </row>
    <row r="274" spans="1:11" x14ac:dyDescent="0.25">
      <c r="A274" t="s">
        <v>575</v>
      </c>
      <c r="B274" t="s">
        <v>576</v>
      </c>
      <c r="C274" t="s">
        <v>484</v>
      </c>
      <c r="D274" t="s">
        <v>22</v>
      </c>
      <c r="E274">
        <v>771.48</v>
      </c>
      <c r="F274">
        <v>8</v>
      </c>
      <c r="G274">
        <v>115.65</v>
      </c>
      <c r="H274">
        <v>0.05</v>
      </c>
      <c r="I274" t="str">
        <f>VLOOKUP(C274,[1]Sheet!$A:$D,3,FALSE)</f>
        <v>North</v>
      </c>
      <c r="J274" t="str">
        <f>VLOOKUP(C274,[1]Sheet!$A:$D,4,FALSE)</f>
        <v>Home Office</v>
      </c>
      <c r="K274">
        <f t="shared" si="4"/>
        <v>0.14990667288847412</v>
      </c>
    </row>
    <row r="275" spans="1:11" x14ac:dyDescent="0.25">
      <c r="A275" t="s">
        <v>577</v>
      </c>
      <c r="B275" t="s">
        <v>578</v>
      </c>
      <c r="C275" t="s">
        <v>333</v>
      </c>
      <c r="D275" t="s">
        <v>11</v>
      </c>
      <c r="E275">
        <v>4476.3500000000004</v>
      </c>
      <c r="F275">
        <v>3</v>
      </c>
      <c r="G275">
        <v>411.53</v>
      </c>
      <c r="H275">
        <v>0.15</v>
      </c>
      <c r="I275" t="str">
        <f>VLOOKUP(C275,[1]Sheet!$A:$D,3,FALSE)</f>
        <v>East</v>
      </c>
      <c r="J275" t="str">
        <f>VLOOKUP(C275,[1]Sheet!$A:$D,4,FALSE)</f>
        <v>Consumer</v>
      </c>
      <c r="K275">
        <f t="shared" si="4"/>
        <v>9.1934276810347701E-2</v>
      </c>
    </row>
    <row r="276" spans="1:11" x14ac:dyDescent="0.25">
      <c r="A276" t="s">
        <v>579</v>
      </c>
      <c r="B276" t="s">
        <v>580</v>
      </c>
      <c r="C276" t="s">
        <v>124</v>
      </c>
      <c r="D276" t="s">
        <v>22</v>
      </c>
      <c r="E276">
        <v>3722.66</v>
      </c>
      <c r="F276">
        <v>9</v>
      </c>
      <c r="G276">
        <v>520.32000000000005</v>
      </c>
      <c r="H276">
        <v>0.2</v>
      </c>
      <c r="I276" t="str">
        <f>VLOOKUP(C276,[1]Sheet!$A:$D,3,FALSE)</f>
        <v>North</v>
      </c>
      <c r="J276" t="str">
        <f>VLOOKUP(C276,[1]Sheet!$A:$D,4,FALSE)</f>
        <v>Home Office</v>
      </c>
      <c r="K276">
        <f t="shared" si="4"/>
        <v>0.13977102394524346</v>
      </c>
    </row>
    <row r="277" spans="1:11" x14ac:dyDescent="0.25">
      <c r="A277" t="s">
        <v>581</v>
      </c>
      <c r="B277" t="s">
        <v>500</v>
      </c>
      <c r="C277" t="s">
        <v>382</v>
      </c>
      <c r="D277" t="s">
        <v>11</v>
      </c>
      <c r="E277">
        <v>3572.83</v>
      </c>
      <c r="F277">
        <v>6</v>
      </c>
      <c r="G277">
        <v>499.97</v>
      </c>
      <c r="H277">
        <v>0</v>
      </c>
      <c r="I277" t="str">
        <f>VLOOKUP(C277,[1]Sheet!$A:$D,3,FALSE)</f>
        <v>West</v>
      </c>
      <c r="J277" t="str">
        <f>VLOOKUP(C277,[1]Sheet!$A:$D,4,FALSE)</f>
        <v>Home Office</v>
      </c>
      <c r="K277">
        <f t="shared" si="4"/>
        <v>0.13993668884329791</v>
      </c>
    </row>
    <row r="278" spans="1:11" x14ac:dyDescent="0.25">
      <c r="A278" t="s">
        <v>582</v>
      </c>
      <c r="B278" t="s">
        <v>583</v>
      </c>
      <c r="C278" t="s">
        <v>138</v>
      </c>
      <c r="D278" t="s">
        <v>22</v>
      </c>
      <c r="E278">
        <v>2960.14</v>
      </c>
      <c r="F278">
        <v>1</v>
      </c>
      <c r="G278">
        <v>855.56</v>
      </c>
      <c r="H278">
        <v>0.2</v>
      </c>
      <c r="I278" t="str">
        <f>VLOOKUP(C278,[1]Sheet!$A:$D,3,FALSE)</f>
        <v>West</v>
      </c>
      <c r="J278" t="str">
        <f>VLOOKUP(C278,[1]Sheet!$A:$D,4,FALSE)</f>
        <v>Home Office</v>
      </c>
      <c r="K278">
        <f t="shared" si="4"/>
        <v>0.28902687035072666</v>
      </c>
    </row>
    <row r="279" spans="1:11" x14ac:dyDescent="0.25">
      <c r="A279" t="s">
        <v>584</v>
      </c>
      <c r="B279" t="s">
        <v>585</v>
      </c>
      <c r="C279" t="s">
        <v>18</v>
      </c>
      <c r="D279" t="s">
        <v>22</v>
      </c>
      <c r="E279">
        <v>1401.1</v>
      </c>
      <c r="F279">
        <v>4</v>
      </c>
      <c r="G279">
        <v>345.62</v>
      </c>
      <c r="H279">
        <v>0</v>
      </c>
      <c r="I279" t="str">
        <f>VLOOKUP(C279,[1]Sheet!$A:$D,3,FALSE)</f>
        <v>West</v>
      </c>
      <c r="J279" t="str">
        <f>VLOOKUP(C279,[1]Sheet!$A:$D,4,FALSE)</f>
        <v>Home Office</v>
      </c>
      <c r="K279">
        <f t="shared" si="4"/>
        <v>0.24667761044893299</v>
      </c>
    </row>
    <row r="280" spans="1:11" x14ac:dyDescent="0.25">
      <c r="A280" t="s">
        <v>586</v>
      </c>
      <c r="B280" t="s">
        <v>587</v>
      </c>
      <c r="C280" t="s">
        <v>88</v>
      </c>
      <c r="D280" t="s">
        <v>11</v>
      </c>
      <c r="E280">
        <v>2454.1999999999998</v>
      </c>
      <c r="F280">
        <v>3</v>
      </c>
      <c r="G280">
        <v>508.68</v>
      </c>
      <c r="H280">
        <v>0.05</v>
      </c>
      <c r="I280" t="str">
        <f>VLOOKUP(C280,[1]Sheet!$A:$D,3,FALSE)</f>
        <v>North</v>
      </c>
      <c r="J280" t="str">
        <f>VLOOKUP(C280,[1]Sheet!$A:$D,4,FALSE)</f>
        <v>Home Office</v>
      </c>
      <c r="K280">
        <f t="shared" si="4"/>
        <v>0.20726917121668978</v>
      </c>
    </row>
    <row r="281" spans="1:11" x14ac:dyDescent="0.25">
      <c r="A281" t="s">
        <v>588</v>
      </c>
      <c r="B281" t="s">
        <v>363</v>
      </c>
      <c r="C281" t="s">
        <v>484</v>
      </c>
      <c r="D281" t="s">
        <v>15</v>
      </c>
      <c r="E281">
        <v>2905.59</v>
      </c>
      <c r="F281">
        <v>8</v>
      </c>
      <c r="G281">
        <v>755.91</v>
      </c>
      <c r="H281">
        <v>0.1</v>
      </c>
      <c r="I281" t="str">
        <f>VLOOKUP(C281,[1]Sheet!$A:$D,3,FALSE)</f>
        <v>North</v>
      </c>
      <c r="J281" t="str">
        <f>VLOOKUP(C281,[1]Sheet!$A:$D,4,FALSE)</f>
        <v>Home Office</v>
      </c>
      <c r="K281">
        <f t="shared" si="4"/>
        <v>0.2601571453646247</v>
      </c>
    </row>
    <row r="282" spans="1:11" x14ac:dyDescent="0.25">
      <c r="A282" t="s">
        <v>589</v>
      </c>
      <c r="B282" t="s">
        <v>96</v>
      </c>
      <c r="C282" t="s">
        <v>138</v>
      </c>
      <c r="D282" t="s">
        <v>22</v>
      </c>
      <c r="E282">
        <v>842.01</v>
      </c>
      <c r="F282">
        <v>10</v>
      </c>
      <c r="G282">
        <v>216.52</v>
      </c>
      <c r="H282">
        <v>0.15</v>
      </c>
      <c r="I282" t="str">
        <f>VLOOKUP(C282,[1]Sheet!$A:$D,3,FALSE)</f>
        <v>West</v>
      </c>
      <c r="J282" t="str">
        <f>VLOOKUP(C282,[1]Sheet!$A:$D,4,FALSE)</f>
        <v>Home Office</v>
      </c>
      <c r="K282">
        <f t="shared" si="4"/>
        <v>0.25714658970796073</v>
      </c>
    </row>
    <row r="283" spans="1:11" x14ac:dyDescent="0.25">
      <c r="A283" t="s">
        <v>590</v>
      </c>
      <c r="B283" t="s">
        <v>515</v>
      </c>
      <c r="C283" t="s">
        <v>424</v>
      </c>
      <c r="D283" t="s">
        <v>15</v>
      </c>
      <c r="E283">
        <v>3664.27</v>
      </c>
      <c r="F283">
        <v>9</v>
      </c>
      <c r="G283">
        <v>959.06</v>
      </c>
      <c r="H283">
        <v>0.1</v>
      </c>
      <c r="I283" t="str">
        <f>VLOOKUP(C283,[1]Sheet!$A:$D,3,FALSE)</f>
        <v>South</v>
      </c>
      <c r="J283" t="str">
        <f>VLOOKUP(C283,[1]Sheet!$A:$D,4,FALSE)</f>
        <v>Consumer</v>
      </c>
      <c r="K283">
        <f t="shared" si="4"/>
        <v>0.26173289632041308</v>
      </c>
    </row>
    <row r="284" spans="1:11" x14ac:dyDescent="0.25">
      <c r="A284" t="s">
        <v>591</v>
      </c>
      <c r="B284" t="s">
        <v>435</v>
      </c>
      <c r="C284" t="s">
        <v>21</v>
      </c>
      <c r="D284" t="s">
        <v>11</v>
      </c>
      <c r="E284">
        <v>2444.02</v>
      </c>
      <c r="F284">
        <v>9</v>
      </c>
      <c r="G284">
        <v>398.49</v>
      </c>
      <c r="H284">
        <v>0.1</v>
      </c>
      <c r="I284" t="str">
        <f>VLOOKUP(C284,[1]Sheet!$A:$D,3,FALSE)</f>
        <v>North</v>
      </c>
      <c r="J284" t="str">
        <f>VLOOKUP(C284,[1]Sheet!$A:$D,4,FALSE)</f>
        <v>Consumer</v>
      </c>
      <c r="K284">
        <f t="shared" si="4"/>
        <v>0.16304694724265759</v>
      </c>
    </row>
    <row r="285" spans="1:11" x14ac:dyDescent="0.25">
      <c r="A285" t="s">
        <v>592</v>
      </c>
      <c r="B285" t="s">
        <v>593</v>
      </c>
      <c r="C285" t="s">
        <v>68</v>
      </c>
      <c r="D285" t="s">
        <v>22</v>
      </c>
      <c r="E285">
        <v>1836.01</v>
      </c>
      <c r="F285">
        <v>5</v>
      </c>
      <c r="G285">
        <v>517.01</v>
      </c>
      <c r="H285">
        <v>0.2</v>
      </c>
      <c r="I285" t="str">
        <f>VLOOKUP(C285,[1]Sheet!$A:$D,3,FALSE)</f>
        <v>East</v>
      </c>
      <c r="J285" t="str">
        <f>VLOOKUP(C285,[1]Sheet!$A:$D,4,FALSE)</f>
        <v>Corporate</v>
      </c>
      <c r="K285">
        <f t="shared" si="4"/>
        <v>0.28159432682828522</v>
      </c>
    </row>
    <row r="286" spans="1:11" x14ac:dyDescent="0.25">
      <c r="A286" t="s">
        <v>594</v>
      </c>
      <c r="B286" t="s">
        <v>595</v>
      </c>
      <c r="C286" t="s">
        <v>238</v>
      </c>
      <c r="D286" t="s">
        <v>11</v>
      </c>
      <c r="E286">
        <v>1042.0899999999999</v>
      </c>
      <c r="F286">
        <v>4</v>
      </c>
      <c r="G286">
        <v>129.16999999999999</v>
      </c>
      <c r="H286">
        <v>0.1</v>
      </c>
      <c r="I286" t="str">
        <f>VLOOKUP(C286,[1]Sheet!$A:$D,3,FALSE)</f>
        <v>North</v>
      </c>
      <c r="J286" t="str">
        <f>VLOOKUP(C286,[1]Sheet!$A:$D,4,FALSE)</f>
        <v>Corporate</v>
      </c>
      <c r="K286">
        <f t="shared" si="4"/>
        <v>0.12395282557168766</v>
      </c>
    </row>
    <row r="287" spans="1:11" x14ac:dyDescent="0.25">
      <c r="A287" t="s">
        <v>596</v>
      </c>
      <c r="B287" t="s">
        <v>530</v>
      </c>
      <c r="C287" t="s">
        <v>466</v>
      </c>
      <c r="D287" t="s">
        <v>11</v>
      </c>
      <c r="E287">
        <v>1516.12</v>
      </c>
      <c r="F287">
        <v>6</v>
      </c>
      <c r="G287">
        <v>170.08</v>
      </c>
      <c r="H287">
        <v>0.15</v>
      </c>
      <c r="I287" t="str">
        <f>VLOOKUP(C287,[1]Sheet!$A:$D,3,FALSE)</f>
        <v>South</v>
      </c>
      <c r="J287" t="str">
        <f>VLOOKUP(C287,[1]Sheet!$A:$D,4,FALSE)</f>
        <v>Consumer</v>
      </c>
      <c r="K287">
        <f t="shared" si="4"/>
        <v>0.11218109384481441</v>
      </c>
    </row>
    <row r="288" spans="1:11" x14ac:dyDescent="0.25">
      <c r="A288" t="s">
        <v>597</v>
      </c>
      <c r="B288" t="s">
        <v>330</v>
      </c>
      <c r="C288" t="s">
        <v>65</v>
      </c>
      <c r="D288" t="s">
        <v>11</v>
      </c>
      <c r="E288">
        <v>2846.39</v>
      </c>
      <c r="F288">
        <v>2</v>
      </c>
      <c r="G288">
        <v>940.29</v>
      </c>
      <c r="H288">
        <v>0.2</v>
      </c>
      <c r="I288" t="str">
        <f>VLOOKUP(C288,[1]Sheet!$A:$D,3,FALSE)</f>
        <v>East</v>
      </c>
      <c r="J288" t="str">
        <f>VLOOKUP(C288,[1]Sheet!$A:$D,4,FALSE)</f>
        <v>Corporate</v>
      </c>
      <c r="K288">
        <f t="shared" si="4"/>
        <v>0.33034475247594319</v>
      </c>
    </row>
    <row r="289" spans="1:11" x14ac:dyDescent="0.25">
      <c r="A289" t="s">
        <v>598</v>
      </c>
      <c r="B289" t="s">
        <v>414</v>
      </c>
      <c r="C289" t="s">
        <v>51</v>
      </c>
      <c r="D289" t="s">
        <v>11</v>
      </c>
      <c r="E289">
        <v>2761.64</v>
      </c>
      <c r="F289">
        <v>3</v>
      </c>
      <c r="G289">
        <v>880.21</v>
      </c>
      <c r="H289">
        <v>0.1</v>
      </c>
      <c r="I289" t="str">
        <f>VLOOKUP(C289,[1]Sheet!$A:$D,3,FALSE)</f>
        <v>South</v>
      </c>
      <c r="J289" t="str">
        <f>VLOOKUP(C289,[1]Sheet!$A:$D,4,FALSE)</f>
        <v>Consumer</v>
      </c>
      <c r="K289">
        <f t="shared" si="4"/>
        <v>0.31872727799423534</v>
      </c>
    </row>
    <row r="290" spans="1:11" x14ac:dyDescent="0.25">
      <c r="A290" t="s">
        <v>599</v>
      </c>
      <c r="B290" t="s">
        <v>600</v>
      </c>
      <c r="C290" t="s">
        <v>54</v>
      </c>
      <c r="D290" t="s">
        <v>11</v>
      </c>
      <c r="E290">
        <v>1509.39</v>
      </c>
      <c r="F290">
        <v>5</v>
      </c>
      <c r="G290">
        <v>398.84</v>
      </c>
      <c r="H290">
        <v>0.15</v>
      </c>
      <c r="I290" t="str">
        <f>VLOOKUP(C290,[1]Sheet!$A:$D,3,FALSE)</f>
        <v>West</v>
      </c>
      <c r="J290" t="str">
        <f>VLOOKUP(C290,[1]Sheet!$A:$D,4,FALSE)</f>
        <v>Consumer</v>
      </c>
      <c r="K290">
        <f t="shared" si="4"/>
        <v>0.26423919596658252</v>
      </c>
    </row>
    <row r="291" spans="1:11" x14ac:dyDescent="0.25">
      <c r="A291" t="s">
        <v>601</v>
      </c>
      <c r="B291" t="s">
        <v>350</v>
      </c>
      <c r="C291" t="s">
        <v>37</v>
      </c>
      <c r="D291" t="s">
        <v>22</v>
      </c>
      <c r="E291">
        <v>1090.1300000000001</v>
      </c>
      <c r="F291">
        <v>5</v>
      </c>
      <c r="G291">
        <v>230.64</v>
      </c>
      <c r="H291">
        <v>0.05</v>
      </c>
      <c r="I291" t="str">
        <f>VLOOKUP(C291,[1]Sheet!$A:$D,3,FALSE)</f>
        <v>North</v>
      </c>
      <c r="J291" t="str">
        <f>VLOOKUP(C291,[1]Sheet!$A:$D,4,FALSE)</f>
        <v>Consumer</v>
      </c>
      <c r="K291">
        <f t="shared" si="4"/>
        <v>0.21157109702512542</v>
      </c>
    </row>
    <row r="292" spans="1:11" x14ac:dyDescent="0.25">
      <c r="A292" t="s">
        <v>602</v>
      </c>
      <c r="B292" t="s">
        <v>191</v>
      </c>
      <c r="C292" t="s">
        <v>198</v>
      </c>
      <c r="D292" t="s">
        <v>15</v>
      </c>
      <c r="E292">
        <v>3116.82</v>
      </c>
      <c r="F292">
        <v>9</v>
      </c>
      <c r="G292">
        <v>704.55</v>
      </c>
      <c r="H292">
        <v>0.05</v>
      </c>
      <c r="I292" t="str">
        <f>VLOOKUP(C292,[1]Sheet!$A:$D,3,FALSE)</f>
        <v>South</v>
      </c>
      <c r="J292" t="str">
        <f>VLOOKUP(C292,[1]Sheet!$A:$D,4,FALSE)</f>
        <v>Home Office</v>
      </c>
      <c r="K292">
        <f t="shared" si="4"/>
        <v>0.22604770246597491</v>
      </c>
    </row>
    <row r="293" spans="1:11" x14ac:dyDescent="0.25">
      <c r="A293" t="s">
        <v>603</v>
      </c>
      <c r="B293" t="s">
        <v>115</v>
      </c>
      <c r="C293" t="s">
        <v>79</v>
      </c>
      <c r="D293" t="s">
        <v>22</v>
      </c>
      <c r="E293">
        <v>1240.9000000000001</v>
      </c>
      <c r="F293">
        <v>8</v>
      </c>
      <c r="G293">
        <v>99.35</v>
      </c>
      <c r="H293">
        <v>0</v>
      </c>
      <c r="I293" t="str">
        <f>VLOOKUP(C293,[1]Sheet!$A:$D,3,FALSE)</f>
        <v>East</v>
      </c>
      <c r="J293" t="str">
        <f>VLOOKUP(C293,[1]Sheet!$A:$D,4,FALSE)</f>
        <v>Corporate</v>
      </c>
      <c r="K293">
        <f t="shared" si="4"/>
        <v>8.0062857603352397E-2</v>
      </c>
    </row>
    <row r="294" spans="1:11" x14ac:dyDescent="0.25">
      <c r="A294" t="s">
        <v>604</v>
      </c>
      <c r="B294" t="s">
        <v>220</v>
      </c>
      <c r="C294" t="s">
        <v>76</v>
      </c>
      <c r="D294" t="s">
        <v>15</v>
      </c>
      <c r="E294">
        <v>3876.75</v>
      </c>
      <c r="F294">
        <v>7</v>
      </c>
      <c r="G294">
        <v>199.86</v>
      </c>
      <c r="H294">
        <v>0.15</v>
      </c>
      <c r="I294" t="str">
        <f>VLOOKUP(C294,[1]Sheet!$A:$D,3,FALSE)</f>
        <v>West</v>
      </c>
      <c r="J294" t="str">
        <f>VLOOKUP(C294,[1]Sheet!$A:$D,4,FALSE)</f>
        <v>Home Office</v>
      </c>
      <c r="K294">
        <f t="shared" si="4"/>
        <v>5.1553491971367771E-2</v>
      </c>
    </row>
    <row r="295" spans="1:11" x14ac:dyDescent="0.25">
      <c r="A295" t="s">
        <v>605</v>
      </c>
      <c r="B295" t="s">
        <v>259</v>
      </c>
      <c r="C295" t="s">
        <v>238</v>
      </c>
      <c r="D295" t="s">
        <v>11</v>
      </c>
      <c r="E295">
        <v>3287.64</v>
      </c>
      <c r="F295">
        <v>5</v>
      </c>
      <c r="G295">
        <v>909.93</v>
      </c>
      <c r="H295">
        <v>0</v>
      </c>
      <c r="I295" t="str">
        <f>VLOOKUP(C295,[1]Sheet!$A:$D,3,FALSE)</f>
        <v>North</v>
      </c>
      <c r="J295" t="str">
        <f>VLOOKUP(C295,[1]Sheet!$A:$D,4,FALSE)</f>
        <v>Corporate</v>
      </c>
      <c r="K295">
        <f t="shared" si="4"/>
        <v>0.27677300434354124</v>
      </c>
    </row>
    <row r="296" spans="1:11" x14ac:dyDescent="0.25">
      <c r="A296" t="s">
        <v>606</v>
      </c>
      <c r="B296" t="s">
        <v>168</v>
      </c>
      <c r="C296" t="s">
        <v>466</v>
      </c>
      <c r="D296" t="s">
        <v>22</v>
      </c>
      <c r="E296">
        <v>538.36</v>
      </c>
      <c r="F296">
        <v>1</v>
      </c>
      <c r="G296">
        <v>119.65</v>
      </c>
      <c r="H296">
        <v>0.05</v>
      </c>
      <c r="I296" t="str">
        <f>VLOOKUP(C296,[1]Sheet!$A:$D,3,FALSE)</f>
        <v>South</v>
      </c>
      <c r="J296" t="str">
        <f>VLOOKUP(C296,[1]Sheet!$A:$D,4,FALSE)</f>
        <v>Consumer</v>
      </c>
      <c r="K296">
        <f t="shared" si="4"/>
        <v>0.22224905267850509</v>
      </c>
    </row>
    <row r="297" spans="1:11" x14ac:dyDescent="0.25">
      <c r="A297" t="s">
        <v>607</v>
      </c>
      <c r="B297" t="s">
        <v>608</v>
      </c>
      <c r="C297" t="s">
        <v>138</v>
      </c>
      <c r="D297" t="s">
        <v>11</v>
      </c>
      <c r="E297">
        <v>4423</v>
      </c>
      <c r="F297">
        <v>8</v>
      </c>
      <c r="G297">
        <v>454.4</v>
      </c>
      <c r="H297">
        <v>0.05</v>
      </c>
      <c r="I297" t="str">
        <f>VLOOKUP(C297,[1]Sheet!$A:$D,3,FALSE)</f>
        <v>West</v>
      </c>
      <c r="J297" t="str">
        <f>VLOOKUP(C297,[1]Sheet!$A:$D,4,FALSE)</f>
        <v>Home Office</v>
      </c>
      <c r="K297">
        <f t="shared" si="4"/>
        <v>0.10273569975130002</v>
      </c>
    </row>
    <row r="298" spans="1:11" x14ac:dyDescent="0.25">
      <c r="A298" t="s">
        <v>609</v>
      </c>
      <c r="B298" t="s">
        <v>99</v>
      </c>
      <c r="C298" t="s">
        <v>46</v>
      </c>
      <c r="D298" t="s">
        <v>15</v>
      </c>
      <c r="E298">
        <v>4814.4399999999996</v>
      </c>
      <c r="F298">
        <v>5</v>
      </c>
      <c r="G298">
        <v>1578.23</v>
      </c>
      <c r="H298">
        <v>0.2</v>
      </c>
      <c r="I298" t="str">
        <f>VLOOKUP(C298,[1]Sheet!$A:$D,3,FALSE)</f>
        <v>North</v>
      </c>
      <c r="J298" t="str">
        <f>VLOOKUP(C298,[1]Sheet!$A:$D,4,FALSE)</f>
        <v>Corporate</v>
      </c>
      <c r="K298">
        <f t="shared" si="4"/>
        <v>0.32781174965312687</v>
      </c>
    </row>
    <row r="299" spans="1:11" x14ac:dyDescent="0.25">
      <c r="A299" t="s">
        <v>610</v>
      </c>
      <c r="B299" t="s">
        <v>455</v>
      </c>
      <c r="C299" t="s">
        <v>333</v>
      </c>
      <c r="D299" t="s">
        <v>11</v>
      </c>
      <c r="E299">
        <v>625.77</v>
      </c>
      <c r="F299">
        <v>9</v>
      </c>
      <c r="G299">
        <v>215.83</v>
      </c>
      <c r="H299">
        <v>0.2</v>
      </c>
      <c r="I299" t="str">
        <f>VLOOKUP(C299,[1]Sheet!$A:$D,3,FALSE)</f>
        <v>East</v>
      </c>
      <c r="J299" t="str">
        <f>VLOOKUP(C299,[1]Sheet!$A:$D,4,FALSE)</f>
        <v>Consumer</v>
      </c>
      <c r="K299">
        <f t="shared" si="4"/>
        <v>0.34490307940617165</v>
      </c>
    </row>
    <row r="300" spans="1:11" x14ac:dyDescent="0.25">
      <c r="A300" t="s">
        <v>611</v>
      </c>
      <c r="B300" t="s">
        <v>566</v>
      </c>
      <c r="C300" t="s">
        <v>492</v>
      </c>
      <c r="D300" t="s">
        <v>11</v>
      </c>
      <c r="E300">
        <v>4457.37</v>
      </c>
      <c r="F300">
        <v>5</v>
      </c>
      <c r="G300">
        <v>402.32</v>
      </c>
      <c r="H300">
        <v>0.05</v>
      </c>
      <c r="I300" t="str">
        <f>VLOOKUP(C300,[1]Sheet!$A:$D,3,FALSE)</f>
        <v>West</v>
      </c>
      <c r="J300" t="str">
        <f>VLOOKUP(C300,[1]Sheet!$A:$D,4,FALSE)</f>
        <v>Home Office</v>
      </c>
      <c r="K300">
        <f t="shared" si="4"/>
        <v>9.0259502800979052E-2</v>
      </c>
    </row>
    <row r="301" spans="1:11" x14ac:dyDescent="0.25">
      <c r="A301" t="s">
        <v>612</v>
      </c>
      <c r="B301" t="s">
        <v>510</v>
      </c>
      <c r="C301" t="s">
        <v>412</v>
      </c>
      <c r="D301" t="s">
        <v>11</v>
      </c>
      <c r="E301">
        <v>1720.35</v>
      </c>
      <c r="F301">
        <v>3</v>
      </c>
      <c r="G301">
        <v>463.35</v>
      </c>
      <c r="H301">
        <v>0</v>
      </c>
      <c r="I301" t="str">
        <f>VLOOKUP(C301,[1]Sheet!$A:$D,3,FALSE)</f>
        <v>West</v>
      </c>
      <c r="J301" t="str">
        <f>VLOOKUP(C301,[1]Sheet!$A:$D,4,FALSE)</f>
        <v>Corporate</v>
      </c>
      <c r="K301">
        <f t="shared" si="4"/>
        <v>0.26933472839829109</v>
      </c>
    </row>
    <row r="302" spans="1:11" x14ac:dyDescent="0.25">
      <c r="A302" t="s">
        <v>613</v>
      </c>
      <c r="B302" t="s">
        <v>266</v>
      </c>
      <c r="C302" t="s">
        <v>424</v>
      </c>
      <c r="D302" t="s">
        <v>15</v>
      </c>
      <c r="E302">
        <v>1751.85</v>
      </c>
      <c r="F302">
        <v>3</v>
      </c>
      <c r="G302">
        <v>242.64</v>
      </c>
      <c r="H302">
        <v>0.2</v>
      </c>
      <c r="I302" t="str">
        <f>VLOOKUP(C302,[1]Sheet!$A:$D,3,FALSE)</f>
        <v>South</v>
      </c>
      <c r="J302" t="str">
        <f>VLOOKUP(C302,[1]Sheet!$A:$D,4,FALSE)</f>
        <v>Consumer</v>
      </c>
      <c r="K302">
        <f t="shared" si="4"/>
        <v>0.13850500899049575</v>
      </c>
    </row>
    <row r="303" spans="1:11" x14ac:dyDescent="0.25">
      <c r="A303" t="s">
        <v>614</v>
      </c>
      <c r="B303" t="s">
        <v>491</v>
      </c>
      <c r="C303" t="s">
        <v>79</v>
      </c>
      <c r="D303" t="s">
        <v>11</v>
      </c>
      <c r="E303">
        <v>4495.51</v>
      </c>
      <c r="F303">
        <v>2</v>
      </c>
      <c r="G303">
        <v>1340.1</v>
      </c>
      <c r="H303">
        <v>0.15</v>
      </c>
      <c r="I303" t="str">
        <f>VLOOKUP(C303,[1]Sheet!$A:$D,3,FALSE)</f>
        <v>East</v>
      </c>
      <c r="J303" t="str">
        <f>VLOOKUP(C303,[1]Sheet!$A:$D,4,FALSE)</f>
        <v>Corporate</v>
      </c>
      <c r="K303">
        <f t="shared" si="4"/>
        <v>0.2980974349962518</v>
      </c>
    </row>
    <row r="304" spans="1:11" x14ac:dyDescent="0.25">
      <c r="A304" t="s">
        <v>615</v>
      </c>
      <c r="B304" t="s">
        <v>45</v>
      </c>
      <c r="C304" t="s">
        <v>59</v>
      </c>
      <c r="D304" t="s">
        <v>11</v>
      </c>
      <c r="E304">
        <v>567.39</v>
      </c>
      <c r="F304">
        <v>4</v>
      </c>
      <c r="G304">
        <v>195.47</v>
      </c>
      <c r="H304">
        <v>0</v>
      </c>
      <c r="I304" t="str">
        <f>VLOOKUP(C304,[1]Sheet!$A:$D,3,FALSE)</f>
        <v>West</v>
      </c>
      <c r="J304" t="str">
        <f>VLOOKUP(C304,[1]Sheet!$A:$D,4,FALSE)</f>
        <v>Consumer</v>
      </c>
      <c r="K304">
        <f t="shared" si="4"/>
        <v>0.34450730538077867</v>
      </c>
    </row>
    <row r="305" spans="1:11" x14ac:dyDescent="0.25">
      <c r="A305" t="s">
        <v>616</v>
      </c>
      <c r="B305" t="s">
        <v>617</v>
      </c>
      <c r="C305" t="s">
        <v>40</v>
      </c>
      <c r="D305" t="s">
        <v>11</v>
      </c>
      <c r="E305">
        <v>1979.51</v>
      </c>
      <c r="F305">
        <v>5</v>
      </c>
      <c r="G305">
        <v>364.27</v>
      </c>
      <c r="H305">
        <v>0.2</v>
      </c>
      <c r="I305" t="str">
        <f>VLOOKUP(C305,[1]Sheet!$A:$D,3,FALSE)</f>
        <v>East</v>
      </c>
      <c r="J305" t="str">
        <f>VLOOKUP(C305,[1]Sheet!$A:$D,4,FALSE)</f>
        <v>Corporate</v>
      </c>
      <c r="K305">
        <f t="shared" si="4"/>
        <v>0.18402028784901314</v>
      </c>
    </row>
    <row r="306" spans="1:11" x14ac:dyDescent="0.25">
      <c r="A306" t="s">
        <v>618</v>
      </c>
      <c r="B306" t="s">
        <v>497</v>
      </c>
      <c r="C306" t="s">
        <v>119</v>
      </c>
      <c r="D306" t="s">
        <v>22</v>
      </c>
      <c r="E306">
        <v>2907.1</v>
      </c>
      <c r="F306">
        <v>4</v>
      </c>
      <c r="G306">
        <v>373.46</v>
      </c>
      <c r="H306">
        <v>0</v>
      </c>
      <c r="I306" t="str">
        <f>VLOOKUP(C306,[1]Sheet!$A:$D,3,FALSE)</f>
        <v>East</v>
      </c>
      <c r="J306" t="str">
        <f>VLOOKUP(C306,[1]Sheet!$A:$D,4,FALSE)</f>
        <v>Corporate</v>
      </c>
      <c r="K306">
        <f t="shared" si="4"/>
        <v>0.12846479309277287</v>
      </c>
    </row>
    <row r="307" spans="1:11" x14ac:dyDescent="0.25">
      <c r="A307" t="s">
        <v>619</v>
      </c>
      <c r="B307" t="s">
        <v>556</v>
      </c>
      <c r="C307" t="s">
        <v>59</v>
      </c>
      <c r="D307" t="s">
        <v>22</v>
      </c>
      <c r="E307">
        <v>679.3</v>
      </c>
      <c r="F307">
        <v>9</v>
      </c>
      <c r="G307">
        <v>96.49</v>
      </c>
      <c r="H307">
        <v>0.1</v>
      </c>
      <c r="I307" t="str">
        <f>VLOOKUP(C307,[1]Sheet!$A:$D,3,FALSE)</f>
        <v>West</v>
      </c>
      <c r="J307" t="str">
        <f>VLOOKUP(C307,[1]Sheet!$A:$D,4,FALSE)</f>
        <v>Consumer</v>
      </c>
      <c r="K307">
        <f t="shared" si="4"/>
        <v>0.14204327984690121</v>
      </c>
    </row>
    <row r="308" spans="1:11" x14ac:dyDescent="0.25">
      <c r="A308" t="s">
        <v>620</v>
      </c>
      <c r="B308" t="s">
        <v>621</v>
      </c>
      <c r="C308" t="s">
        <v>215</v>
      </c>
      <c r="D308" t="s">
        <v>11</v>
      </c>
      <c r="E308">
        <v>675.34</v>
      </c>
      <c r="F308">
        <v>10</v>
      </c>
      <c r="G308">
        <v>219.38</v>
      </c>
      <c r="H308">
        <v>0.05</v>
      </c>
      <c r="I308" t="str">
        <f>VLOOKUP(C308,[1]Sheet!$A:$D,3,FALSE)</f>
        <v>South</v>
      </c>
      <c r="J308" t="str">
        <f>VLOOKUP(C308,[1]Sheet!$A:$D,4,FALSE)</f>
        <v>Corporate</v>
      </c>
      <c r="K308">
        <f t="shared" si="4"/>
        <v>0.32484378239109185</v>
      </c>
    </row>
    <row r="309" spans="1:11" x14ac:dyDescent="0.25">
      <c r="A309" t="s">
        <v>622</v>
      </c>
      <c r="B309" t="s">
        <v>172</v>
      </c>
      <c r="C309" t="s">
        <v>218</v>
      </c>
      <c r="D309" t="s">
        <v>22</v>
      </c>
      <c r="E309">
        <v>4791.07</v>
      </c>
      <c r="F309">
        <v>10</v>
      </c>
      <c r="G309">
        <v>926.85</v>
      </c>
      <c r="H309">
        <v>0.1</v>
      </c>
      <c r="I309" t="str">
        <f>VLOOKUP(C309,[1]Sheet!$A:$D,3,FALSE)</f>
        <v>South</v>
      </c>
      <c r="J309" t="str">
        <f>VLOOKUP(C309,[1]Sheet!$A:$D,4,FALSE)</f>
        <v>Corporate</v>
      </c>
      <c r="K309">
        <f t="shared" si="4"/>
        <v>0.19345365440287871</v>
      </c>
    </row>
    <row r="310" spans="1:11" x14ac:dyDescent="0.25">
      <c r="A310" t="s">
        <v>623</v>
      </c>
      <c r="B310" t="s">
        <v>624</v>
      </c>
      <c r="C310" t="s">
        <v>138</v>
      </c>
      <c r="D310" t="s">
        <v>22</v>
      </c>
      <c r="E310">
        <v>3539.51</v>
      </c>
      <c r="F310">
        <v>4</v>
      </c>
      <c r="G310">
        <v>1146.23</v>
      </c>
      <c r="H310">
        <v>0.05</v>
      </c>
      <c r="I310" t="str">
        <f>VLOOKUP(C310,[1]Sheet!$A:$D,3,FALSE)</f>
        <v>West</v>
      </c>
      <c r="J310" t="str">
        <f>VLOOKUP(C310,[1]Sheet!$A:$D,4,FALSE)</f>
        <v>Home Office</v>
      </c>
      <c r="K310">
        <f t="shared" si="4"/>
        <v>0.3238386104291272</v>
      </c>
    </row>
    <row r="311" spans="1:11" x14ac:dyDescent="0.25">
      <c r="A311" t="s">
        <v>625</v>
      </c>
      <c r="B311" t="s">
        <v>381</v>
      </c>
      <c r="C311" t="s">
        <v>76</v>
      </c>
      <c r="D311" t="s">
        <v>22</v>
      </c>
      <c r="E311">
        <v>3798.22</v>
      </c>
      <c r="F311">
        <v>8</v>
      </c>
      <c r="G311">
        <v>1184.82</v>
      </c>
      <c r="H311">
        <v>0.2</v>
      </c>
      <c r="I311" t="str">
        <f>VLOOKUP(C311,[1]Sheet!$A:$D,3,FALSE)</f>
        <v>West</v>
      </c>
      <c r="J311" t="str">
        <f>VLOOKUP(C311,[1]Sheet!$A:$D,4,FALSE)</f>
        <v>Home Office</v>
      </c>
      <c r="K311">
        <f t="shared" si="4"/>
        <v>0.3119408565064688</v>
      </c>
    </row>
    <row r="312" spans="1:11" x14ac:dyDescent="0.25">
      <c r="A312" t="s">
        <v>626</v>
      </c>
      <c r="B312" t="s">
        <v>627</v>
      </c>
      <c r="C312" t="s">
        <v>157</v>
      </c>
      <c r="D312" t="s">
        <v>15</v>
      </c>
      <c r="E312">
        <v>1872.75</v>
      </c>
      <c r="F312">
        <v>9</v>
      </c>
      <c r="G312">
        <v>608.97</v>
      </c>
      <c r="H312">
        <v>0.2</v>
      </c>
      <c r="I312" t="str">
        <f>VLOOKUP(C312,[1]Sheet!$A:$D,3,FALSE)</f>
        <v>South</v>
      </c>
      <c r="J312" t="str">
        <f>VLOOKUP(C312,[1]Sheet!$A:$D,4,FALSE)</f>
        <v>Home Office</v>
      </c>
      <c r="K312">
        <f t="shared" si="4"/>
        <v>0.32517420905086103</v>
      </c>
    </row>
    <row r="313" spans="1:11" x14ac:dyDescent="0.25">
      <c r="A313" t="s">
        <v>628</v>
      </c>
      <c r="B313" t="s">
        <v>339</v>
      </c>
      <c r="C313" t="s">
        <v>135</v>
      </c>
      <c r="D313" t="s">
        <v>22</v>
      </c>
      <c r="E313">
        <v>2906.24</v>
      </c>
      <c r="F313">
        <v>8</v>
      </c>
      <c r="G313">
        <v>275.95999999999998</v>
      </c>
      <c r="H313">
        <v>0</v>
      </c>
      <c r="I313" t="str">
        <f>VLOOKUP(C313,[1]Sheet!$A:$D,3,FALSE)</f>
        <v>East</v>
      </c>
      <c r="J313" t="str">
        <f>VLOOKUP(C313,[1]Sheet!$A:$D,4,FALSE)</f>
        <v>Home Office</v>
      </c>
      <c r="K313">
        <f t="shared" si="4"/>
        <v>9.4954305219114729E-2</v>
      </c>
    </row>
    <row r="314" spans="1:11" x14ac:dyDescent="0.25">
      <c r="A314" t="s">
        <v>629</v>
      </c>
      <c r="B314" t="s">
        <v>444</v>
      </c>
      <c r="C314" t="s">
        <v>76</v>
      </c>
      <c r="D314" t="s">
        <v>22</v>
      </c>
      <c r="E314">
        <v>1106.47</v>
      </c>
      <c r="F314">
        <v>8</v>
      </c>
      <c r="G314">
        <v>248.89</v>
      </c>
      <c r="H314">
        <v>0</v>
      </c>
      <c r="I314" t="str">
        <f>VLOOKUP(C314,[1]Sheet!$A:$D,3,FALSE)</f>
        <v>West</v>
      </c>
      <c r="J314" t="str">
        <f>VLOOKUP(C314,[1]Sheet!$A:$D,4,FALSE)</f>
        <v>Home Office</v>
      </c>
      <c r="K314">
        <f t="shared" si="4"/>
        <v>0.22494057678924867</v>
      </c>
    </row>
    <row r="315" spans="1:11" x14ac:dyDescent="0.25">
      <c r="A315" t="s">
        <v>630</v>
      </c>
      <c r="B315" t="s">
        <v>631</v>
      </c>
      <c r="C315" t="s">
        <v>102</v>
      </c>
      <c r="D315" t="s">
        <v>15</v>
      </c>
      <c r="E315">
        <v>746.53</v>
      </c>
      <c r="F315">
        <v>9</v>
      </c>
      <c r="G315">
        <v>130.36000000000001</v>
      </c>
      <c r="H315">
        <v>0.15</v>
      </c>
      <c r="I315" t="str">
        <f>VLOOKUP(C315,[1]Sheet!$A:$D,3,FALSE)</f>
        <v>South</v>
      </c>
      <c r="J315" t="str">
        <f>VLOOKUP(C315,[1]Sheet!$A:$D,4,FALSE)</f>
        <v>Home Office</v>
      </c>
      <c r="K315">
        <f t="shared" si="4"/>
        <v>0.17462124763907683</v>
      </c>
    </row>
    <row r="316" spans="1:11" x14ac:dyDescent="0.25">
      <c r="A316" t="s">
        <v>632</v>
      </c>
      <c r="B316" t="s">
        <v>414</v>
      </c>
      <c r="C316" t="s">
        <v>51</v>
      </c>
      <c r="D316" t="s">
        <v>11</v>
      </c>
      <c r="E316">
        <v>4053.89</v>
      </c>
      <c r="F316">
        <v>1</v>
      </c>
      <c r="G316">
        <v>1082.32</v>
      </c>
      <c r="H316">
        <v>0.05</v>
      </c>
      <c r="I316" t="str">
        <f>VLOOKUP(C316,[1]Sheet!$A:$D,3,FALSE)</f>
        <v>South</v>
      </c>
      <c r="J316" t="str">
        <f>VLOOKUP(C316,[1]Sheet!$A:$D,4,FALSE)</f>
        <v>Consumer</v>
      </c>
      <c r="K316">
        <f t="shared" si="4"/>
        <v>0.26698307058158954</v>
      </c>
    </row>
    <row r="317" spans="1:11" x14ac:dyDescent="0.25">
      <c r="A317" t="s">
        <v>633</v>
      </c>
      <c r="B317" t="s">
        <v>352</v>
      </c>
      <c r="C317" t="s">
        <v>88</v>
      </c>
      <c r="D317" t="s">
        <v>15</v>
      </c>
      <c r="E317">
        <v>457.84</v>
      </c>
      <c r="F317">
        <v>9</v>
      </c>
      <c r="G317">
        <v>81.09</v>
      </c>
      <c r="H317">
        <v>0</v>
      </c>
      <c r="I317" t="str">
        <f>VLOOKUP(C317,[1]Sheet!$A:$D,3,FALSE)</f>
        <v>North</v>
      </c>
      <c r="J317" t="str">
        <f>VLOOKUP(C317,[1]Sheet!$A:$D,4,FALSE)</f>
        <v>Home Office</v>
      </c>
      <c r="K317">
        <f t="shared" si="4"/>
        <v>0.17711427572951252</v>
      </c>
    </row>
    <row r="318" spans="1:11" x14ac:dyDescent="0.25">
      <c r="A318" t="s">
        <v>634</v>
      </c>
      <c r="B318" t="s">
        <v>39</v>
      </c>
      <c r="C318" t="s">
        <v>311</v>
      </c>
      <c r="D318" t="s">
        <v>11</v>
      </c>
      <c r="E318">
        <v>4932.07</v>
      </c>
      <c r="F318">
        <v>3</v>
      </c>
      <c r="G318">
        <v>945.09</v>
      </c>
      <c r="H318">
        <v>0.05</v>
      </c>
      <c r="I318" t="str">
        <f>VLOOKUP(C318,[1]Sheet!$A:$D,3,FALSE)</f>
        <v>North</v>
      </c>
      <c r="J318" t="str">
        <f>VLOOKUP(C318,[1]Sheet!$A:$D,4,FALSE)</f>
        <v>Home Office</v>
      </c>
      <c r="K318">
        <f t="shared" si="4"/>
        <v>0.1916213679043485</v>
      </c>
    </row>
    <row r="319" spans="1:11" x14ac:dyDescent="0.25">
      <c r="A319" t="s">
        <v>635</v>
      </c>
      <c r="B319" t="s">
        <v>121</v>
      </c>
      <c r="C319" t="s">
        <v>466</v>
      </c>
      <c r="D319" t="s">
        <v>11</v>
      </c>
      <c r="E319">
        <v>3243.47</v>
      </c>
      <c r="F319">
        <v>7</v>
      </c>
      <c r="G319">
        <v>871.8</v>
      </c>
      <c r="H319">
        <v>0.15</v>
      </c>
      <c r="I319" t="str">
        <f>VLOOKUP(C319,[1]Sheet!$A:$D,3,FALSE)</f>
        <v>South</v>
      </c>
      <c r="J319" t="str">
        <f>VLOOKUP(C319,[1]Sheet!$A:$D,4,FALSE)</f>
        <v>Consumer</v>
      </c>
      <c r="K319">
        <f t="shared" si="4"/>
        <v>0.26878620736433512</v>
      </c>
    </row>
    <row r="320" spans="1:11" x14ac:dyDescent="0.25">
      <c r="A320" t="s">
        <v>636</v>
      </c>
      <c r="B320" t="s">
        <v>637</v>
      </c>
      <c r="C320" t="s">
        <v>162</v>
      </c>
      <c r="D320" t="s">
        <v>22</v>
      </c>
      <c r="E320">
        <v>1940.66</v>
      </c>
      <c r="F320">
        <v>3</v>
      </c>
      <c r="G320">
        <v>494.52</v>
      </c>
      <c r="H320">
        <v>0.1</v>
      </c>
      <c r="I320" t="str">
        <f>VLOOKUP(C320,[1]Sheet!$A:$D,3,FALSE)</f>
        <v>West</v>
      </c>
      <c r="J320" t="str">
        <f>VLOOKUP(C320,[1]Sheet!$A:$D,4,FALSE)</f>
        <v>Corporate</v>
      </c>
      <c r="K320">
        <f t="shared" si="4"/>
        <v>0.25482052497603908</v>
      </c>
    </row>
    <row r="321" spans="1:11" x14ac:dyDescent="0.25">
      <c r="A321" t="s">
        <v>638</v>
      </c>
      <c r="B321" t="s">
        <v>639</v>
      </c>
      <c r="C321" t="s">
        <v>193</v>
      </c>
      <c r="D321" t="s">
        <v>15</v>
      </c>
      <c r="E321">
        <v>974.52</v>
      </c>
      <c r="F321">
        <v>4</v>
      </c>
      <c r="G321">
        <v>205.8</v>
      </c>
      <c r="H321">
        <v>0</v>
      </c>
      <c r="I321" t="str">
        <f>VLOOKUP(C321,[1]Sheet!$A:$D,3,FALSE)</f>
        <v>East</v>
      </c>
      <c r="J321" t="str">
        <f>VLOOKUP(C321,[1]Sheet!$A:$D,4,FALSE)</f>
        <v>Consumer</v>
      </c>
      <c r="K321">
        <f t="shared" si="4"/>
        <v>0.21118088905307231</v>
      </c>
    </row>
    <row r="322" spans="1:11" x14ac:dyDescent="0.25">
      <c r="A322" t="s">
        <v>640</v>
      </c>
      <c r="B322" t="s">
        <v>641</v>
      </c>
      <c r="C322" t="s">
        <v>181</v>
      </c>
      <c r="D322" t="s">
        <v>22</v>
      </c>
      <c r="E322">
        <v>211.4</v>
      </c>
      <c r="F322">
        <v>9</v>
      </c>
      <c r="G322">
        <v>29.49</v>
      </c>
      <c r="H322">
        <v>0.15</v>
      </c>
      <c r="I322" t="str">
        <f>VLOOKUP(C322,[1]Sheet!$A:$D,3,FALSE)</f>
        <v>North</v>
      </c>
      <c r="J322" t="str">
        <f>VLOOKUP(C322,[1]Sheet!$A:$D,4,FALSE)</f>
        <v>Home Office</v>
      </c>
      <c r="K322">
        <f t="shared" si="4"/>
        <v>0.13949858088930936</v>
      </c>
    </row>
    <row r="323" spans="1:11" x14ac:dyDescent="0.25">
      <c r="A323" t="s">
        <v>642</v>
      </c>
      <c r="B323" t="s">
        <v>197</v>
      </c>
      <c r="C323" t="s">
        <v>28</v>
      </c>
      <c r="D323" t="s">
        <v>11</v>
      </c>
      <c r="E323">
        <v>1958.45</v>
      </c>
      <c r="F323">
        <v>3</v>
      </c>
      <c r="G323">
        <v>232.86</v>
      </c>
      <c r="H323">
        <v>0.1</v>
      </c>
      <c r="I323" t="str">
        <f>VLOOKUP(C323,[1]Sheet!$A:$D,3,FALSE)</f>
        <v>East</v>
      </c>
      <c r="J323" t="str">
        <f>VLOOKUP(C323,[1]Sheet!$A:$D,4,FALSE)</f>
        <v>Consumer</v>
      </c>
      <c r="K323">
        <f t="shared" ref="K323:K386" si="5">G323/E323</f>
        <v>0.11890015062932421</v>
      </c>
    </row>
    <row r="324" spans="1:11" x14ac:dyDescent="0.25">
      <c r="A324" t="s">
        <v>643</v>
      </c>
      <c r="B324" t="s">
        <v>627</v>
      </c>
      <c r="C324" t="s">
        <v>113</v>
      </c>
      <c r="D324" t="s">
        <v>15</v>
      </c>
      <c r="E324">
        <v>4693.3100000000004</v>
      </c>
      <c r="F324">
        <v>7</v>
      </c>
      <c r="G324">
        <v>1255.49</v>
      </c>
      <c r="H324">
        <v>0.2</v>
      </c>
      <c r="I324" t="str">
        <f>VLOOKUP(C324,[1]Sheet!$A:$D,3,FALSE)</f>
        <v>East</v>
      </c>
      <c r="J324" t="str">
        <f>VLOOKUP(C324,[1]Sheet!$A:$D,4,FALSE)</f>
        <v>Home Office</v>
      </c>
      <c r="K324">
        <f t="shared" si="5"/>
        <v>0.26750630152280586</v>
      </c>
    </row>
    <row r="325" spans="1:11" x14ac:dyDescent="0.25">
      <c r="A325" t="s">
        <v>644</v>
      </c>
      <c r="B325" t="s">
        <v>494</v>
      </c>
      <c r="C325" t="s">
        <v>466</v>
      </c>
      <c r="D325" t="s">
        <v>15</v>
      </c>
      <c r="E325">
        <v>4687.57</v>
      </c>
      <c r="F325">
        <v>2</v>
      </c>
      <c r="G325">
        <v>1484.61</v>
      </c>
      <c r="H325">
        <v>0</v>
      </c>
      <c r="I325" t="str">
        <f>VLOOKUP(C325,[1]Sheet!$A:$D,3,FALSE)</f>
        <v>South</v>
      </c>
      <c r="J325" t="str">
        <f>VLOOKUP(C325,[1]Sheet!$A:$D,4,FALSE)</f>
        <v>Consumer</v>
      </c>
      <c r="K325">
        <f t="shared" si="5"/>
        <v>0.31671207043308153</v>
      </c>
    </row>
    <row r="326" spans="1:11" x14ac:dyDescent="0.25">
      <c r="A326" t="s">
        <v>645</v>
      </c>
      <c r="B326" t="s">
        <v>530</v>
      </c>
      <c r="C326" t="s">
        <v>230</v>
      </c>
      <c r="D326" t="s">
        <v>15</v>
      </c>
      <c r="E326">
        <v>264.52</v>
      </c>
      <c r="F326">
        <v>4</v>
      </c>
      <c r="G326">
        <v>60.66</v>
      </c>
      <c r="H326">
        <v>0</v>
      </c>
      <c r="I326" t="str">
        <f>VLOOKUP(C326,[1]Sheet!$A:$D,3,FALSE)</f>
        <v>South</v>
      </c>
      <c r="J326" t="str">
        <f>VLOOKUP(C326,[1]Sheet!$A:$D,4,FALSE)</f>
        <v>Consumer</v>
      </c>
      <c r="K326">
        <f t="shared" si="5"/>
        <v>0.22932103432632694</v>
      </c>
    </row>
    <row r="327" spans="1:11" x14ac:dyDescent="0.25">
      <c r="A327" t="s">
        <v>646</v>
      </c>
      <c r="B327" t="s">
        <v>545</v>
      </c>
      <c r="C327" t="s">
        <v>104</v>
      </c>
      <c r="D327" t="s">
        <v>15</v>
      </c>
      <c r="E327">
        <v>2250.92</v>
      </c>
      <c r="F327">
        <v>9</v>
      </c>
      <c r="G327">
        <v>477.03</v>
      </c>
      <c r="H327">
        <v>0.1</v>
      </c>
      <c r="I327" t="str">
        <f>VLOOKUP(C327,[1]Sheet!$A:$D,3,FALSE)</f>
        <v>South</v>
      </c>
      <c r="J327" t="str">
        <f>VLOOKUP(C327,[1]Sheet!$A:$D,4,FALSE)</f>
        <v>Home Office</v>
      </c>
      <c r="K327">
        <f t="shared" si="5"/>
        <v>0.21192667886908462</v>
      </c>
    </row>
    <row r="328" spans="1:11" x14ac:dyDescent="0.25">
      <c r="A328" t="s">
        <v>647</v>
      </c>
      <c r="B328" t="s">
        <v>559</v>
      </c>
      <c r="C328" t="s">
        <v>298</v>
      </c>
      <c r="D328" t="s">
        <v>22</v>
      </c>
      <c r="E328">
        <v>4097.3500000000004</v>
      </c>
      <c r="F328">
        <v>10</v>
      </c>
      <c r="G328">
        <v>1104.05</v>
      </c>
      <c r="H328">
        <v>0.1</v>
      </c>
      <c r="I328" t="str">
        <f>VLOOKUP(C328,[1]Sheet!$A:$D,3,FALSE)</f>
        <v>North</v>
      </c>
      <c r="J328" t="str">
        <f>VLOOKUP(C328,[1]Sheet!$A:$D,4,FALSE)</f>
        <v>Consumer</v>
      </c>
      <c r="K328">
        <f t="shared" si="5"/>
        <v>0.26945464751607745</v>
      </c>
    </row>
    <row r="329" spans="1:11" x14ac:dyDescent="0.25">
      <c r="A329" t="s">
        <v>648</v>
      </c>
      <c r="B329" t="s">
        <v>637</v>
      </c>
      <c r="C329" t="s">
        <v>14</v>
      </c>
      <c r="D329" t="s">
        <v>22</v>
      </c>
      <c r="E329">
        <v>1578.65</v>
      </c>
      <c r="F329">
        <v>4</v>
      </c>
      <c r="G329">
        <v>146.78</v>
      </c>
      <c r="H329">
        <v>0.15</v>
      </c>
      <c r="I329" t="str">
        <f>VLOOKUP(C329,[1]Sheet!$A:$D,3,FALSE)</f>
        <v>North</v>
      </c>
      <c r="J329" t="str">
        <f>VLOOKUP(C329,[1]Sheet!$A:$D,4,FALSE)</f>
        <v>Corporate</v>
      </c>
      <c r="K329">
        <f t="shared" si="5"/>
        <v>9.2978177556773192E-2</v>
      </c>
    </row>
    <row r="330" spans="1:11" x14ac:dyDescent="0.25">
      <c r="A330" t="s">
        <v>649</v>
      </c>
      <c r="B330" t="s">
        <v>650</v>
      </c>
      <c r="C330" t="s">
        <v>71</v>
      </c>
      <c r="D330" t="s">
        <v>22</v>
      </c>
      <c r="E330">
        <v>1448.25</v>
      </c>
      <c r="F330">
        <v>3</v>
      </c>
      <c r="G330">
        <v>314.29000000000002</v>
      </c>
      <c r="H330">
        <v>0.15</v>
      </c>
      <c r="I330" t="str">
        <f>VLOOKUP(C330,[1]Sheet!$A:$D,3,FALSE)</f>
        <v>South</v>
      </c>
      <c r="J330" t="str">
        <f>VLOOKUP(C330,[1]Sheet!$A:$D,4,FALSE)</f>
        <v>Consumer</v>
      </c>
      <c r="K330">
        <f t="shared" si="5"/>
        <v>0.21701363714828242</v>
      </c>
    </row>
    <row r="331" spans="1:11" x14ac:dyDescent="0.25">
      <c r="A331" t="s">
        <v>651</v>
      </c>
      <c r="B331" t="s">
        <v>504</v>
      </c>
      <c r="C331" t="s">
        <v>243</v>
      </c>
      <c r="D331" t="s">
        <v>22</v>
      </c>
      <c r="E331">
        <v>2528.54</v>
      </c>
      <c r="F331">
        <v>7</v>
      </c>
      <c r="G331">
        <v>863.97</v>
      </c>
      <c r="H331">
        <v>0.2</v>
      </c>
      <c r="I331" t="str">
        <f>VLOOKUP(C331,[1]Sheet!$A:$D,3,FALSE)</f>
        <v>North</v>
      </c>
      <c r="J331" t="str">
        <f>VLOOKUP(C331,[1]Sheet!$A:$D,4,FALSE)</f>
        <v>Home Office</v>
      </c>
      <c r="K331">
        <f t="shared" si="5"/>
        <v>0.34168729780822138</v>
      </c>
    </row>
    <row r="332" spans="1:11" x14ac:dyDescent="0.25">
      <c r="A332" t="s">
        <v>652</v>
      </c>
      <c r="B332" t="s">
        <v>536</v>
      </c>
      <c r="C332" t="s">
        <v>155</v>
      </c>
      <c r="D332" t="s">
        <v>11</v>
      </c>
      <c r="E332">
        <v>3511.91</v>
      </c>
      <c r="F332">
        <v>3</v>
      </c>
      <c r="G332">
        <v>605.73</v>
      </c>
      <c r="H332">
        <v>0.2</v>
      </c>
      <c r="I332" t="str">
        <f>VLOOKUP(C332,[1]Sheet!$A:$D,3,FALSE)</f>
        <v>East</v>
      </c>
      <c r="J332" t="str">
        <f>VLOOKUP(C332,[1]Sheet!$A:$D,4,FALSE)</f>
        <v>Home Office</v>
      </c>
      <c r="K332">
        <f t="shared" si="5"/>
        <v>0.17247879359095195</v>
      </c>
    </row>
    <row r="333" spans="1:11" x14ac:dyDescent="0.25">
      <c r="A333" t="s">
        <v>653</v>
      </c>
      <c r="B333" t="s">
        <v>654</v>
      </c>
      <c r="C333" t="s">
        <v>18</v>
      </c>
      <c r="D333" t="s">
        <v>15</v>
      </c>
      <c r="E333">
        <v>1280.74</v>
      </c>
      <c r="F333">
        <v>8</v>
      </c>
      <c r="G333">
        <v>150.62</v>
      </c>
      <c r="H333">
        <v>0</v>
      </c>
      <c r="I333" t="str">
        <f>VLOOKUP(C333,[1]Sheet!$A:$D,3,FALSE)</f>
        <v>West</v>
      </c>
      <c r="J333" t="str">
        <f>VLOOKUP(C333,[1]Sheet!$A:$D,4,FALSE)</f>
        <v>Home Office</v>
      </c>
      <c r="K333">
        <f t="shared" si="5"/>
        <v>0.11760388525383762</v>
      </c>
    </row>
    <row r="334" spans="1:11" x14ac:dyDescent="0.25">
      <c r="A334" t="s">
        <v>655</v>
      </c>
      <c r="B334" t="s">
        <v>656</v>
      </c>
      <c r="C334" t="s">
        <v>243</v>
      </c>
      <c r="D334" t="s">
        <v>15</v>
      </c>
      <c r="E334">
        <v>2122.12</v>
      </c>
      <c r="F334">
        <v>7</v>
      </c>
      <c r="G334">
        <v>371.27</v>
      </c>
      <c r="H334">
        <v>0.05</v>
      </c>
      <c r="I334" t="str">
        <f>VLOOKUP(C334,[1]Sheet!$A:$D,3,FALSE)</f>
        <v>North</v>
      </c>
      <c r="J334" t="str">
        <f>VLOOKUP(C334,[1]Sheet!$A:$D,4,FALSE)</f>
        <v>Home Office</v>
      </c>
      <c r="K334">
        <f t="shared" si="5"/>
        <v>0.17495240608448157</v>
      </c>
    </row>
    <row r="335" spans="1:11" x14ac:dyDescent="0.25">
      <c r="A335" t="s">
        <v>657</v>
      </c>
      <c r="B335" t="s">
        <v>526</v>
      </c>
      <c r="C335" t="s">
        <v>267</v>
      </c>
      <c r="D335" t="s">
        <v>11</v>
      </c>
      <c r="E335">
        <v>1096.3499999999999</v>
      </c>
      <c r="F335">
        <v>2</v>
      </c>
      <c r="G335">
        <v>267.52</v>
      </c>
      <c r="H335">
        <v>0.2</v>
      </c>
      <c r="I335" t="str">
        <f>VLOOKUP(C335,[1]Sheet!$A:$D,3,FALSE)</f>
        <v>East</v>
      </c>
      <c r="J335" t="str">
        <f>VLOOKUP(C335,[1]Sheet!$A:$D,4,FALSE)</f>
        <v>Consumer</v>
      </c>
      <c r="K335">
        <f t="shared" si="5"/>
        <v>0.24400966844529576</v>
      </c>
    </row>
    <row r="336" spans="1:11" x14ac:dyDescent="0.25">
      <c r="A336" t="s">
        <v>658</v>
      </c>
      <c r="B336" t="s">
        <v>659</v>
      </c>
      <c r="C336" t="s">
        <v>119</v>
      </c>
      <c r="D336" t="s">
        <v>22</v>
      </c>
      <c r="E336">
        <v>4164.09</v>
      </c>
      <c r="F336">
        <v>10</v>
      </c>
      <c r="G336">
        <v>272.58999999999997</v>
      </c>
      <c r="H336">
        <v>0.2</v>
      </c>
      <c r="I336" t="str">
        <f>VLOOKUP(C336,[1]Sheet!$A:$D,3,FALSE)</f>
        <v>East</v>
      </c>
      <c r="J336" t="str">
        <f>VLOOKUP(C336,[1]Sheet!$A:$D,4,FALSE)</f>
        <v>Corporate</v>
      </c>
      <c r="K336">
        <f t="shared" si="5"/>
        <v>6.5462081751355025E-2</v>
      </c>
    </row>
    <row r="337" spans="1:11" x14ac:dyDescent="0.25">
      <c r="A337" t="s">
        <v>660</v>
      </c>
      <c r="B337" t="s">
        <v>661</v>
      </c>
      <c r="C337" t="s">
        <v>54</v>
      </c>
      <c r="D337" t="s">
        <v>22</v>
      </c>
      <c r="E337">
        <v>4380.74</v>
      </c>
      <c r="F337">
        <v>9</v>
      </c>
      <c r="G337">
        <v>466.33</v>
      </c>
      <c r="H337">
        <v>0.05</v>
      </c>
      <c r="I337" t="str">
        <f>VLOOKUP(C337,[1]Sheet!$A:$D,3,FALSE)</f>
        <v>West</v>
      </c>
      <c r="J337" t="str">
        <f>VLOOKUP(C337,[1]Sheet!$A:$D,4,FALSE)</f>
        <v>Consumer</v>
      </c>
      <c r="K337">
        <f t="shared" si="5"/>
        <v>0.10645005181772943</v>
      </c>
    </row>
    <row r="338" spans="1:11" x14ac:dyDescent="0.25">
      <c r="A338" t="s">
        <v>662</v>
      </c>
      <c r="B338" t="s">
        <v>240</v>
      </c>
      <c r="C338" t="s">
        <v>238</v>
      </c>
      <c r="D338" t="s">
        <v>15</v>
      </c>
      <c r="E338">
        <v>1123.56</v>
      </c>
      <c r="F338">
        <v>4</v>
      </c>
      <c r="G338">
        <v>361.91</v>
      </c>
      <c r="H338">
        <v>0.05</v>
      </c>
      <c r="I338" t="str">
        <f>VLOOKUP(C338,[1]Sheet!$A:$D,3,FALSE)</f>
        <v>North</v>
      </c>
      <c r="J338" t="str">
        <f>VLOOKUP(C338,[1]Sheet!$A:$D,4,FALSE)</f>
        <v>Corporate</v>
      </c>
      <c r="K338">
        <f t="shared" si="5"/>
        <v>0.32211007867848629</v>
      </c>
    </row>
    <row r="339" spans="1:11" x14ac:dyDescent="0.25">
      <c r="A339" t="s">
        <v>663</v>
      </c>
      <c r="B339" t="s">
        <v>379</v>
      </c>
      <c r="C339" t="s">
        <v>424</v>
      </c>
      <c r="D339" t="s">
        <v>15</v>
      </c>
      <c r="E339">
        <v>674.85</v>
      </c>
      <c r="F339">
        <v>10</v>
      </c>
      <c r="G339">
        <v>236.11</v>
      </c>
      <c r="H339">
        <v>0.05</v>
      </c>
      <c r="I339" t="str">
        <f>VLOOKUP(C339,[1]Sheet!$A:$D,3,FALSE)</f>
        <v>South</v>
      </c>
      <c r="J339" t="str">
        <f>VLOOKUP(C339,[1]Sheet!$A:$D,4,FALSE)</f>
        <v>Consumer</v>
      </c>
      <c r="K339">
        <f t="shared" si="5"/>
        <v>0.34987034155738311</v>
      </c>
    </row>
    <row r="340" spans="1:11" x14ac:dyDescent="0.25">
      <c r="A340" t="s">
        <v>664</v>
      </c>
      <c r="B340" t="s">
        <v>665</v>
      </c>
      <c r="C340" t="s">
        <v>432</v>
      </c>
      <c r="D340" t="s">
        <v>11</v>
      </c>
      <c r="E340">
        <v>4584.12</v>
      </c>
      <c r="F340">
        <v>8</v>
      </c>
      <c r="G340">
        <v>988.45</v>
      </c>
      <c r="H340">
        <v>0.2</v>
      </c>
      <c r="I340" t="str">
        <f>VLOOKUP(C340,[1]Sheet!$A:$D,3,FALSE)</f>
        <v>East</v>
      </c>
      <c r="J340" t="str">
        <f>VLOOKUP(C340,[1]Sheet!$A:$D,4,FALSE)</f>
        <v>Consumer</v>
      </c>
      <c r="K340">
        <f t="shared" si="5"/>
        <v>0.21562480912367044</v>
      </c>
    </row>
    <row r="341" spans="1:11" x14ac:dyDescent="0.25">
      <c r="A341" t="s">
        <v>666</v>
      </c>
      <c r="B341" t="s">
        <v>478</v>
      </c>
      <c r="C341" t="s">
        <v>271</v>
      </c>
      <c r="D341" t="s">
        <v>11</v>
      </c>
      <c r="E341">
        <v>1860.37</v>
      </c>
      <c r="F341">
        <v>8</v>
      </c>
      <c r="G341">
        <v>239</v>
      </c>
      <c r="H341">
        <v>0</v>
      </c>
      <c r="I341" t="str">
        <f>VLOOKUP(C341,[1]Sheet!$A:$D,3,FALSE)</f>
        <v>South</v>
      </c>
      <c r="J341" t="str">
        <f>VLOOKUP(C341,[1]Sheet!$A:$D,4,FALSE)</f>
        <v>Home Office</v>
      </c>
      <c r="K341">
        <f t="shared" si="5"/>
        <v>0.12846906798110055</v>
      </c>
    </row>
    <row r="342" spans="1:11" x14ac:dyDescent="0.25">
      <c r="A342" t="s">
        <v>667</v>
      </c>
      <c r="B342" t="s">
        <v>668</v>
      </c>
      <c r="C342" t="s">
        <v>119</v>
      </c>
      <c r="D342" t="s">
        <v>11</v>
      </c>
      <c r="E342">
        <v>2400.5</v>
      </c>
      <c r="F342">
        <v>6</v>
      </c>
      <c r="G342">
        <v>724.76</v>
      </c>
      <c r="H342">
        <v>0.15</v>
      </c>
      <c r="I342" t="str">
        <f>VLOOKUP(C342,[1]Sheet!$A:$D,3,FALSE)</f>
        <v>East</v>
      </c>
      <c r="J342" t="str">
        <f>VLOOKUP(C342,[1]Sheet!$A:$D,4,FALSE)</f>
        <v>Corporate</v>
      </c>
      <c r="K342">
        <f t="shared" si="5"/>
        <v>0.30192043324307438</v>
      </c>
    </row>
    <row r="343" spans="1:11" x14ac:dyDescent="0.25">
      <c r="A343" t="s">
        <v>669</v>
      </c>
      <c r="B343" t="s">
        <v>670</v>
      </c>
      <c r="C343" t="s">
        <v>54</v>
      </c>
      <c r="D343" t="s">
        <v>15</v>
      </c>
      <c r="E343">
        <v>2856.37</v>
      </c>
      <c r="F343">
        <v>5</v>
      </c>
      <c r="G343">
        <v>332.43</v>
      </c>
      <c r="H343">
        <v>0.2</v>
      </c>
      <c r="I343" t="str">
        <f>VLOOKUP(C343,[1]Sheet!$A:$D,3,FALSE)</f>
        <v>West</v>
      </c>
      <c r="J343" t="str">
        <f>VLOOKUP(C343,[1]Sheet!$A:$D,4,FALSE)</f>
        <v>Consumer</v>
      </c>
      <c r="K343">
        <f t="shared" si="5"/>
        <v>0.11638198132594868</v>
      </c>
    </row>
    <row r="344" spans="1:11" x14ac:dyDescent="0.25">
      <c r="A344" t="s">
        <v>671</v>
      </c>
      <c r="B344" t="s">
        <v>389</v>
      </c>
      <c r="C344" t="s">
        <v>88</v>
      </c>
      <c r="D344" t="s">
        <v>15</v>
      </c>
      <c r="E344">
        <v>2937.8</v>
      </c>
      <c r="F344">
        <v>6</v>
      </c>
      <c r="G344">
        <v>514.91999999999996</v>
      </c>
      <c r="H344">
        <v>0.05</v>
      </c>
      <c r="I344" t="str">
        <f>VLOOKUP(C344,[1]Sheet!$A:$D,3,FALSE)</f>
        <v>North</v>
      </c>
      <c r="J344" t="str">
        <f>VLOOKUP(C344,[1]Sheet!$A:$D,4,FALSE)</f>
        <v>Home Office</v>
      </c>
      <c r="K344">
        <f t="shared" si="5"/>
        <v>0.17527401456872488</v>
      </c>
    </row>
    <row r="345" spans="1:11" x14ac:dyDescent="0.25">
      <c r="A345" t="s">
        <v>672</v>
      </c>
      <c r="B345" t="s">
        <v>220</v>
      </c>
      <c r="C345" t="s">
        <v>162</v>
      </c>
      <c r="D345" t="s">
        <v>22</v>
      </c>
      <c r="E345">
        <v>2891.97</v>
      </c>
      <c r="F345">
        <v>6</v>
      </c>
      <c r="G345">
        <v>357.79</v>
      </c>
      <c r="H345">
        <v>0.1</v>
      </c>
      <c r="I345" t="str">
        <f>VLOOKUP(C345,[1]Sheet!$A:$D,3,FALSE)</f>
        <v>West</v>
      </c>
      <c r="J345" t="str">
        <f>VLOOKUP(C345,[1]Sheet!$A:$D,4,FALSE)</f>
        <v>Corporate</v>
      </c>
      <c r="K345">
        <f t="shared" si="5"/>
        <v>0.12371843414696558</v>
      </c>
    </row>
    <row r="346" spans="1:11" x14ac:dyDescent="0.25">
      <c r="A346" t="s">
        <v>673</v>
      </c>
      <c r="B346" t="s">
        <v>542</v>
      </c>
      <c r="C346" t="s">
        <v>227</v>
      </c>
      <c r="D346" t="s">
        <v>22</v>
      </c>
      <c r="E346">
        <v>4125.8</v>
      </c>
      <c r="F346">
        <v>8</v>
      </c>
      <c r="G346">
        <v>1402.58</v>
      </c>
      <c r="H346">
        <v>0.15</v>
      </c>
      <c r="I346" t="str">
        <f>VLOOKUP(C346,[1]Sheet!$A:$D,3,FALSE)</f>
        <v>South</v>
      </c>
      <c r="J346" t="str">
        <f>VLOOKUP(C346,[1]Sheet!$A:$D,4,FALSE)</f>
        <v>Home Office</v>
      </c>
      <c r="K346">
        <f t="shared" si="5"/>
        <v>0.33995346357070139</v>
      </c>
    </row>
    <row r="347" spans="1:11" x14ac:dyDescent="0.25">
      <c r="A347" t="s">
        <v>674</v>
      </c>
      <c r="B347" t="s">
        <v>538</v>
      </c>
      <c r="C347" t="s">
        <v>187</v>
      </c>
      <c r="D347" t="s">
        <v>22</v>
      </c>
      <c r="E347">
        <v>3690.58</v>
      </c>
      <c r="F347">
        <v>9</v>
      </c>
      <c r="G347">
        <v>574.45000000000005</v>
      </c>
      <c r="H347">
        <v>0.15</v>
      </c>
      <c r="I347" t="str">
        <f>VLOOKUP(C347,[1]Sheet!$A:$D,3,FALSE)</f>
        <v>West</v>
      </c>
      <c r="J347" t="str">
        <f>VLOOKUP(C347,[1]Sheet!$A:$D,4,FALSE)</f>
        <v>Home Office</v>
      </c>
      <c r="K347">
        <f t="shared" si="5"/>
        <v>0.15565304098542779</v>
      </c>
    </row>
    <row r="348" spans="1:11" x14ac:dyDescent="0.25">
      <c r="A348" t="s">
        <v>675</v>
      </c>
      <c r="B348" t="s">
        <v>542</v>
      </c>
      <c r="C348" t="s">
        <v>676</v>
      </c>
      <c r="D348" t="s">
        <v>15</v>
      </c>
      <c r="E348">
        <v>4592.8100000000004</v>
      </c>
      <c r="F348">
        <v>9</v>
      </c>
      <c r="G348">
        <v>976.62</v>
      </c>
      <c r="H348">
        <v>0</v>
      </c>
      <c r="I348" t="str">
        <f>VLOOKUP(C348,[1]Sheet!$A:$D,3,FALSE)</f>
        <v>North</v>
      </c>
      <c r="J348" t="str">
        <f>VLOOKUP(C348,[1]Sheet!$A:$D,4,FALSE)</f>
        <v>Home Office</v>
      </c>
      <c r="K348">
        <f t="shared" si="5"/>
        <v>0.21264106287871692</v>
      </c>
    </row>
    <row r="349" spans="1:11" x14ac:dyDescent="0.25">
      <c r="A349" t="s">
        <v>677</v>
      </c>
      <c r="B349" t="s">
        <v>678</v>
      </c>
      <c r="C349" t="s">
        <v>85</v>
      </c>
      <c r="D349" t="s">
        <v>11</v>
      </c>
      <c r="E349">
        <v>4731.42</v>
      </c>
      <c r="F349">
        <v>3</v>
      </c>
      <c r="G349">
        <v>1185.05</v>
      </c>
      <c r="H349">
        <v>0.05</v>
      </c>
      <c r="I349" t="str">
        <f>VLOOKUP(C349,[1]Sheet!$A:$D,3,FALSE)</f>
        <v>South</v>
      </c>
      <c r="J349" t="str">
        <f>VLOOKUP(C349,[1]Sheet!$A:$D,4,FALSE)</f>
        <v>Home Office</v>
      </c>
      <c r="K349">
        <f t="shared" si="5"/>
        <v>0.25046391992256023</v>
      </c>
    </row>
    <row r="350" spans="1:11" x14ac:dyDescent="0.25">
      <c r="A350" t="s">
        <v>679</v>
      </c>
      <c r="B350" t="s">
        <v>566</v>
      </c>
      <c r="C350" t="s">
        <v>311</v>
      </c>
      <c r="D350" t="s">
        <v>11</v>
      </c>
      <c r="E350">
        <v>3565.13</v>
      </c>
      <c r="F350">
        <v>6</v>
      </c>
      <c r="G350">
        <v>188.03</v>
      </c>
      <c r="H350">
        <v>0</v>
      </c>
      <c r="I350" t="str">
        <f>VLOOKUP(C350,[1]Sheet!$A:$D,3,FALSE)</f>
        <v>North</v>
      </c>
      <c r="J350" t="str">
        <f>VLOOKUP(C350,[1]Sheet!$A:$D,4,FALSE)</f>
        <v>Home Office</v>
      </c>
      <c r="K350">
        <f t="shared" si="5"/>
        <v>5.2741414759069093E-2</v>
      </c>
    </row>
    <row r="351" spans="1:11" x14ac:dyDescent="0.25">
      <c r="A351" t="s">
        <v>680</v>
      </c>
      <c r="B351" t="s">
        <v>226</v>
      </c>
      <c r="C351" t="s">
        <v>94</v>
      </c>
      <c r="D351" t="s">
        <v>22</v>
      </c>
      <c r="E351">
        <v>3224.87</v>
      </c>
      <c r="F351">
        <v>8</v>
      </c>
      <c r="G351">
        <v>1064.76</v>
      </c>
      <c r="H351">
        <v>0</v>
      </c>
      <c r="I351" t="str">
        <f>VLOOKUP(C351,[1]Sheet!$A:$D,3,FALSE)</f>
        <v>East</v>
      </c>
      <c r="J351" t="str">
        <f>VLOOKUP(C351,[1]Sheet!$A:$D,4,FALSE)</f>
        <v>Corporate</v>
      </c>
      <c r="K351">
        <f t="shared" si="5"/>
        <v>0.33017144877157839</v>
      </c>
    </row>
    <row r="352" spans="1:11" x14ac:dyDescent="0.25">
      <c r="A352" t="s">
        <v>681</v>
      </c>
      <c r="B352" t="s">
        <v>500</v>
      </c>
      <c r="C352" t="s">
        <v>682</v>
      </c>
      <c r="D352" t="s">
        <v>22</v>
      </c>
      <c r="E352">
        <v>2707.84</v>
      </c>
      <c r="F352">
        <v>5</v>
      </c>
      <c r="G352">
        <v>469.54</v>
      </c>
      <c r="H352">
        <v>0.2</v>
      </c>
      <c r="I352" t="str">
        <f>VLOOKUP(C352,[1]Sheet!$A:$D,3,FALSE)</f>
        <v>North</v>
      </c>
      <c r="J352" t="str">
        <f>VLOOKUP(C352,[1]Sheet!$A:$D,4,FALSE)</f>
        <v>Consumer</v>
      </c>
      <c r="K352">
        <f t="shared" si="5"/>
        <v>0.17340020089813282</v>
      </c>
    </row>
    <row r="353" spans="1:11" x14ac:dyDescent="0.25">
      <c r="A353" t="s">
        <v>683</v>
      </c>
      <c r="B353" t="s">
        <v>266</v>
      </c>
      <c r="C353" t="s">
        <v>324</v>
      </c>
      <c r="D353" t="s">
        <v>11</v>
      </c>
      <c r="E353">
        <v>184</v>
      </c>
      <c r="F353">
        <v>3</v>
      </c>
      <c r="G353">
        <v>54.09</v>
      </c>
      <c r="H353">
        <v>0</v>
      </c>
      <c r="I353" t="str">
        <f>VLOOKUP(C353,[1]Sheet!$A:$D,3,FALSE)</f>
        <v>North</v>
      </c>
      <c r="J353" t="str">
        <f>VLOOKUP(C353,[1]Sheet!$A:$D,4,FALSE)</f>
        <v>Home Office</v>
      </c>
      <c r="K353">
        <f t="shared" si="5"/>
        <v>0.29396739130434785</v>
      </c>
    </row>
    <row r="354" spans="1:11" x14ac:dyDescent="0.25">
      <c r="A354" t="s">
        <v>684</v>
      </c>
      <c r="B354" t="s">
        <v>587</v>
      </c>
      <c r="C354" t="s">
        <v>313</v>
      </c>
      <c r="D354" t="s">
        <v>22</v>
      </c>
      <c r="E354">
        <v>2669.49</v>
      </c>
      <c r="F354">
        <v>5</v>
      </c>
      <c r="G354">
        <v>326.45</v>
      </c>
      <c r="H354">
        <v>0.1</v>
      </c>
      <c r="I354" t="str">
        <f>VLOOKUP(C354,[1]Sheet!$A:$D,3,FALSE)</f>
        <v>East</v>
      </c>
      <c r="J354" t="str">
        <f>VLOOKUP(C354,[1]Sheet!$A:$D,4,FALSE)</f>
        <v>Consumer</v>
      </c>
      <c r="K354">
        <f t="shared" si="5"/>
        <v>0.12228927622879276</v>
      </c>
    </row>
    <row r="355" spans="1:11" x14ac:dyDescent="0.25">
      <c r="A355" t="s">
        <v>685</v>
      </c>
      <c r="B355" t="s">
        <v>556</v>
      </c>
      <c r="C355" t="s">
        <v>224</v>
      </c>
      <c r="D355" t="s">
        <v>11</v>
      </c>
      <c r="E355">
        <v>3995.19</v>
      </c>
      <c r="F355">
        <v>10</v>
      </c>
      <c r="G355">
        <v>294.47000000000003</v>
      </c>
      <c r="H355">
        <v>0.05</v>
      </c>
      <c r="I355" t="str">
        <f>VLOOKUP(C355,[1]Sheet!$A:$D,3,FALSE)</f>
        <v>South</v>
      </c>
      <c r="J355" t="str">
        <f>VLOOKUP(C355,[1]Sheet!$A:$D,4,FALSE)</f>
        <v>Home Office</v>
      </c>
      <c r="K355">
        <f t="shared" si="5"/>
        <v>7.3706131623276994E-2</v>
      </c>
    </row>
    <row r="356" spans="1:11" x14ac:dyDescent="0.25">
      <c r="A356" t="s">
        <v>686</v>
      </c>
      <c r="B356" t="s">
        <v>381</v>
      </c>
      <c r="C356" t="s">
        <v>122</v>
      </c>
      <c r="D356" t="s">
        <v>22</v>
      </c>
      <c r="E356">
        <v>1206.7</v>
      </c>
      <c r="F356">
        <v>1</v>
      </c>
      <c r="G356">
        <v>307.95999999999998</v>
      </c>
      <c r="H356">
        <v>0</v>
      </c>
      <c r="I356" t="str">
        <f>VLOOKUP(C356,[1]Sheet!$A:$D,3,FALSE)</f>
        <v>West</v>
      </c>
      <c r="J356" t="str">
        <f>VLOOKUP(C356,[1]Sheet!$A:$D,4,FALSE)</f>
        <v>Consumer</v>
      </c>
      <c r="K356">
        <f t="shared" si="5"/>
        <v>0.25520841965691554</v>
      </c>
    </row>
    <row r="357" spans="1:11" x14ac:dyDescent="0.25">
      <c r="A357" t="s">
        <v>687</v>
      </c>
      <c r="B357" t="s">
        <v>545</v>
      </c>
      <c r="C357" t="s">
        <v>104</v>
      </c>
      <c r="D357" t="s">
        <v>22</v>
      </c>
      <c r="E357">
        <v>1958.39</v>
      </c>
      <c r="F357">
        <v>1</v>
      </c>
      <c r="G357">
        <v>422.64</v>
      </c>
      <c r="H357">
        <v>0.05</v>
      </c>
      <c r="I357" t="str">
        <f>VLOOKUP(C357,[1]Sheet!$A:$D,3,FALSE)</f>
        <v>South</v>
      </c>
      <c r="J357" t="str">
        <f>VLOOKUP(C357,[1]Sheet!$A:$D,4,FALSE)</f>
        <v>Home Office</v>
      </c>
      <c r="K357">
        <f t="shared" si="5"/>
        <v>0.21580992550002806</v>
      </c>
    </row>
    <row r="358" spans="1:11" x14ac:dyDescent="0.25">
      <c r="A358" t="s">
        <v>688</v>
      </c>
      <c r="B358" t="s">
        <v>115</v>
      </c>
      <c r="C358" t="s">
        <v>320</v>
      </c>
      <c r="D358" t="s">
        <v>22</v>
      </c>
      <c r="E358">
        <v>2549.31</v>
      </c>
      <c r="F358">
        <v>2</v>
      </c>
      <c r="G358">
        <v>459.32</v>
      </c>
      <c r="H358">
        <v>0.2</v>
      </c>
      <c r="I358" t="str">
        <f>VLOOKUP(C358,[1]Sheet!$A:$D,3,FALSE)</f>
        <v>West</v>
      </c>
      <c r="J358" t="str">
        <f>VLOOKUP(C358,[1]Sheet!$A:$D,4,FALSE)</f>
        <v>Consumer</v>
      </c>
      <c r="K358">
        <f t="shared" si="5"/>
        <v>0.18017424322659856</v>
      </c>
    </row>
    <row r="359" spans="1:11" x14ac:dyDescent="0.25">
      <c r="A359" t="s">
        <v>689</v>
      </c>
      <c r="B359" t="s">
        <v>690</v>
      </c>
      <c r="C359" t="s">
        <v>54</v>
      </c>
      <c r="D359" t="s">
        <v>22</v>
      </c>
      <c r="E359">
        <v>1225.8599999999999</v>
      </c>
      <c r="F359">
        <v>8</v>
      </c>
      <c r="G359">
        <v>392.74</v>
      </c>
      <c r="H359">
        <v>0.1</v>
      </c>
      <c r="I359" t="str">
        <f>VLOOKUP(C359,[1]Sheet!$A:$D,3,FALSE)</f>
        <v>West</v>
      </c>
      <c r="J359" t="str">
        <f>VLOOKUP(C359,[1]Sheet!$A:$D,4,FALSE)</f>
        <v>Consumer</v>
      </c>
      <c r="K359">
        <f t="shared" si="5"/>
        <v>0.32037916238395903</v>
      </c>
    </row>
    <row r="360" spans="1:11" x14ac:dyDescent="0.25">
      <c r="A360" t="s">
        <v>691</v>
      </c>
      <c r="B360" t="s">
        <v>692</v>
      </c>
      <c r="C360" t="s">
        <v>54</v>
      </c>
      <c r="D360" t="s">
        <v>22</v>
      </c>
      <c r="E360">
        <v>4628.38</v>
      </c>
      <c r="F360">
        <v>10</v>
      </c>
      <c r="G360">
        <v>1181.76</v>
      </c>
      <c r="H360">
        <v>0</v>
      </c>
      <c r="I360" t="str">
        <f>VLOOKUP(C360,[1]Sheet!$A:$D,3,FALSE)</f>
        <v>West</v>
      </c>
      <c r="J360" t="str">
        <f>VLOOKUP(C360,[1]Sheet!$A:$D,4,FALSE)</f>
        <v>Consumer</v>
      </c>
      <c r="K360">
        <f t="shared" si="5"/>
        <v>0.25532907842484842</v>
      </c>
    </row>
    <row r="361" spans="1:11" x14ac:dyDescent="0.25">
      <c r="A361" t="s">
        <v>693</v>
      </c>
      <c r="B361" t="s">
        <v>694</v>
      </c>
      <c r="C361" t="s">
        <v>201</v>
      </c>
      <c r="D361" t="s">
        <v>22</v>
      </c>
      <c r="E361">
        <v>4650.96</v>
      </c>
      <c r="F361">
        <v>3</v>
      </c>
      <c r="G361">
        <v>671.34</v>
      </c>
      <c r="H361">
        <v>0.15</v>
      </c>
      <c r="I361" t="str">
        <f>VLOOKUP(C361,[1]Sheet!$A:$D,3,FALSE)</f>
        <v>North</v>
      </c>
      <c r="J361" t="str">
        <f>VLOOKUP(C361,[1]Sheet!$A:$D,4,FALSE)</f>
        <v>Corporate</v>
      </c>
      <c r="K361">
        <f t="shared" si="5"/>
        <v>0.14434439341555291</v>
      </c>
    </row>
    <row r="362" spans="1:11" x14ac:dyDescent="0.25">
      <c r="A362" t="s">
        <v>695</v>
      </c>
      <c r="B362" t="s">
        <v>408</v>
      </c>
      <c r="C362" t="s">
        <v>85</v>
      </c>
      <c r="D362" t="s">
        <v>11</v>
      </c>
      <c r="E362">
        <v>1566.46</v>
      </c>
      <c r="F362">
        <v>9</v>
      </c>
      <c r="G362">
        <v>343.35</v>
      </c>
      <c r="H362">
        <v>0.1</v>
      </c>
      <c r="I362" t="str">
        <f>VLOOKUP(C362,[1]Sheet!$A:$D,3,FALSE)</f>
        <v>South</v>
      </c>
      <c r="J362" t="str">
        <f>VLOOKUP(C362,[1]Sheet!$A:$D,4,FALSE)</f>
        <v>Home Office</v>
      </c>
      <c r="K362">
        <f t="shared" si="5"/>
        <v>0.21918848869425328</v>
      </c>
    </row>
    <row r="363" spans="1:11" x14ac:dyDescent="0.25">
      <c r="A363" t="s">
        <v>696</v>
      </c>
      <c r="B363" t="s">
        <v>583</v>
      </c>
      <c r="C363" t="s">
        <v>301</v>
      </c>
      <c r="D363" t="s">
        <v>22</v>
      </c>
      <c r="E363">
        <v>3802.49</v>
      </c>
      <c r="F363">
        <v>2</v>
      </c>
      <c r="G363">
        <v>349.77</v>
      </c>
      <c r="H363">
        <v>0.2</v>
      </c>
      <c r="I363" t="str">
        <f>VLOOKUP(C363,[1]Sheet!$A:$D,3,FALSE)</f>
        <v>West</v>
      </c>
      <c r="J363" t="str">
        <f>VLOOKUP(C363,[1]Sheet!$A:$D,4,FALSE)</f>
        <v>Consumer</v>
      </c>
      <c r="K363">
        <f t="shared" si="5"/>
        <v>9.198446281252548E-2</v>
      </c>
    </row>
    <row r="364" spans="1:11" x14ac:dyDescent="0.25">
      <c r="A364" t="s">
        <v>697</v>
      </c>
      <c r="B364" t="s">
        <v>698</v>
      </c>
      <c r="C364" t="s">
        <v>46</v>
      </c>
      <c r="D364" t="s">
        <v>15</v>
      </c>
      <c r="E364">
        <v>4874.18</v>
      </c>
      <c r="F364">
        <v>2</v>
      </c>
      <c r="G364">
        <v>322.23</v>
      </c>
      <c r="H364">
        <v>0.1</v>
      </c>
      <c r="I364" t="str">
        <f>VLOOKUP(C364,[1]Sheet!$A:$D,3,FALSE)</f>
        <v>North</v>
      </c>
      <c r="J364" t="str">
        <f>VLOOKUP(C364,[1]Sheet!$A:$D,4,FALSE)</f>
        <v>Corporate</v>
      </c>
      <c r="K364">
        <f t="shared" si="5"/>
        <v>6.6109581509094864E-2</v>
      </c>
    </row>
    <row r="365" spans="1:11" x14ac:dyDescent="0.25">
      <c r="A365" t="s">
        <v>699</v>
      </c>
      <c r="B365" t="s">
        <v>700</v>
      </c>
      <c r="C365" t="s">
        <v>333</v>
      </c>
      <c r="D365" t="s">
        <v>11</v>
      </c>
      <c r="E365">
        <v>3868.13</v>
      </c>
      <c r="F365">
        <v>1</v>
      </c>
      <c r="G365">
        <v>1301.46</v>
      </c>
      <c r="H365">
        <v>0.1</v>
      </c>
      <c r="I365" t="str">
        <f>VLOOKUP(C365,[1]Sheet!$A:$D,3,FALSE)</f>
        <v>East</v>
      </c>
      <c r="J365" t="str">
        <f>VLOOKUP(C365,[1]Sheet!$A:$D,4,FALSE)</f>
        <v>Consumer</v>
      </c>
      <c r="K365">
        <f t="shared" si="5"/>
        <v>0.33645715112987412</v>
      </c>
    </row>
    <row r="366" spans="1:11" x14ac:dyDescent="0.25">
      <c r="A366" t="s">
        <v>701</v>
      </c>
      <c r="B366" t="s">
        <v>702</v>
      </c>
      <c r="C366" t="s">
        <v>151</v>
      </c>
      <c r="D366" t="s">
        <v>11</v>
      </c>
      <c r="E366">
        <v>2503.96</v>
      </c>
      <c r="F366">
        <v>3</v>
      </c>
      <c r="G366">
        <v>392.48</v>
      </c>
      <c r="H366">
        <v>0.2</v>
      </c>
      <c r="I366" t="str">
        <f>VLOOKUP(C366,[1]Sheet!$A:$D,3,FALSE)</f>
        <v>North</v>
      </c>
      <c r="J366" t="str">
        <f>VLOOKUP(C366,[1]Sheet!$A:$D,4,FALSE)</f>
        <v>Consumer</v>
      </c>
      <c r="K366">
        <f t="shared" si="5"/>
        <v>0.156743717950766</v>
      </c>
    </row>
    <row r="367" spans="1:11" x14ac:dyDescent="0.25">
      <c r="A367" t="s">
        <v>703</v>
      </c>
      <c r="B367" t="s">
        <v>621</v>
      </c>
      <c r="C367" t="s">
        <v>21</v>
      </c>
      <c r="D367" t="s">
        <v>15</v>
      </c>
      <c r="E367">
        <v>1962.36</v>
      </c>
      <c r="F367">
        <v>2</v>
      </c>
      <c r="G367">
        <v>552.70000000000005</v>
      </c>
      <c r="H367">
        <v>0</v>
      </c>
      <c r="I367" t="str">
        <f>VLOOKUP(C367,[1]Sheet!$A:$D,3,FALSE)</f>
        <v>North</v>
      </c>
      <c r="J367" t="str">
        <f>VLOOKUP(C367,[1]Sheet!$A:$D,4,FALSE)</f>
        <v>Consumer</v>
      </c>
      <c r="K367">
        <f t="shared" si="5"/>
        <v>0.28165066552518397</v>
      </c>
    </row>
    <row r="368" spans="1:11" x14ac:dyDescent="0.25">
      <c r="A368" t="s">
        <v>704</v>
      </c>
      <c r="B368" t="s">
        <v>705</v>
      </c>
      <c r="C368" t="s">
        <v>224</v>
      </c>
      <c r="D368" t="s">
        <v>15</v>
      </c>
      <c r="E368">
        <v>855.68</v>
      </c>
      <c r="F368">
        <v>7</v>
      </c>
      <c r="G368">
        <v>225.47</v>
      </c>
      <c r="H368">
        <v>0.1</v>
      </c>
      <c r="I368" t="str">
        <f>VLOOKUP(C368,[1]Sheet!$A:$D,3,FALSE)</f>
        <v>South</v>
      </c>
      <c r="J368" t="str">
        <f>VLOOKUP(C368,[1]Sheet!$A:$D,4,FALSE)</f>
        <v>Home Office</v>
      </c>
      <c r="K368">
        <f t="shared" si="5"/>
        <v>0.26349803664921467</v>
      </c>
    </row>
    <row r="369" spans="1:11" x14ac:dyDescent="0.25">
      <c r="A369" t="s">
        <v>706</v>
      </c>
      <c r="B369" t="s">
        <v>707</v>
      </c>
      <c r="C369" t="s">
        <v>116</v>
      </c>
      <c r="D369" t="s">
        <v>11</v>
      </c>
      <c r="E369">
        <v>622.1</v>
      </c>
      <c r="F369">
        <v>6</v>
      </c>
      <c r="G369">
        <v>32.07</v>
      </c>
      <c r="H369">
        <v>0.1</v>
      </c>
      <c r="I369" t="str">
        <f>VLOOKUP(C369,[1]Sheet!$A:$D,3,FALSE)</f>
        <v>South</v>
      </c>
      <c r="J369" t="str">
        <f>VLOOKUP(C369,[1]Sheet!$A:$D,4,FALSE)</f>
        <v>Home Office</v>
      </c>
      <c r="K369">
        <f t="shared" si="5"/>
        <v>5.1551197556662917E-2</v>
      </c>
    </row>
    <row r="370" spans="1:11" x14ac:dyDescent="0.25">
      <c r="A370" t="s">
        <v>708</v>
      </c>
      <c r="B370" t="s">
        <v>214</v>
      </c>
      <c r="C370" t="s">
        <v>198</v>
      </c>
      <c r="D370" t="s">
        <v>22</v>
      </c>
      <c r="E370">
        <v>749.28</v>
      </c>
      <c r="F370">
        <v>9</v>
      </c>
      <c r="G370">
        <v>79.59</v>
      </c>
      <c r="H370">
        <v>0.2</v>
      </c>
      <c r="I370" t="str">
        <f>VLOOKUP(C370,[1]Sheet!$A:$D,3,FALSE)</f>
        <v>South</v>
      </c>
      <c r="J370" t="str">
        <f>VLOOKUP(C370,[1]Sheet!$A:$D,4,FALSE)</f>
        <v>Home Office</v>
      </c>
      <c r="K370">
        <f t="shared" si="5"/>
        <v>0.10622197309417042</v>
      </c>
    </row>
    <row r="371" spans="1:11" x14ac:dyDescent="0.25">
      <c r="A371" t="s">
        <v>709</v>
      </c>
      <c r="B371" t="s">
        <v>366</v>
      </c>
      <c r="C371" t="s">
        <v>251</v>
      </c>
      <c r="D371" t="s">
        <v>15</v>
      </c>
      <c r="E371">
        <v>606.14</v>
      </c>
      <c r="F371">
        <v>10</v>
      </c>
      <c r="G371">
        <v>46.6</v>
      </c>
      <c r="H371">
        <v>0.2</v>
      </c>
      <c r="I371" t="str">
        <f>VLOOKUP(C371,[1]Sheet!$A:$D,3,FALSE)</f>
        <v>East</v>
      </c>
      <c r="J371" t="str">
        <f>VLOOKUP(C371,[1]Sheet!$A:$D,4,FALSE)</f>
        <v>Home Office</v>
      </c>
      <c r="K371">
        <f t="shared" si="5"/>
        <v>7.6879928729336466E-2</v>
      </c>
    </row>
    <row r="372" spans="1:11" x14ac:dyDescent="0.25">
      <c r="A372" t="s">
        <v>710</v>
      </c>
      <c r="B372" t="s">
        <v>711</v>
      </c>
      <c r="C372" t="s">
        <v>428</v>
      </c>
      <c r="D372" t="s">
        <v>11</v>
      </c>
      <c r="E372">
        <v>4332.22</v>
      </c>
      <c r="F372">
        <v>2</v>
      </c>
      <c r="G372">
        <v>232.65</v>
      </c>
      <c r="H372">
        <v>0.2</v>
      </c>
      <c r="I372" t="str">
        <f>VLOOKUP(C372,[1]Sheet!$A:$D,3,FALSE)</f>
        <v>South</v>
      </c>
      <c r="J372" t="str">
        <f>VLOOKUP(C372,[1]Sheet!$A:$D,4,FALSE)</f>
        <v>Home Office</v>
      </c>
      <c r="K372">
        <f t="shared" si="5"/>
        <v>5.3702258888052773E-2</v>
      </c>
    </row>
    <row r="373" spans="1:11" x14ac:dyDescent="0.25">
      <c r="A373" t="s">
        <v>712</v>
      </c>
      <c r="B373" t="s">
        <v>713</v>
      </c>
      <c r="C373" t="s">
        <v>141</v>
      </c>
      <c r="D373" t="s">
        <v>15</v>
      </c>
      <c r="E373">
        <v>2902.61</v>
      </c>
      <c r="F373">
        <v>3</v>
      </c>
      <c r="G373">
        <v>292.8</v>
      </c>
      <c r="H373">
        <v>0.1</v>
      </c>
      <c r="I373" t="str">
        <f>VLOOKUP(C373,[1]Sheet!$A:$D,3,FALSE)</f>
        <v>East</v>
      </c>
      <c r="J373" t="str">
        <f>VLOOKUP(C373,[1]Sheet!$A:$D,4,FALSE)</f>
        <v>Corporate</v>
      </c>
      <c r="K373">
        <f t="shared" si="5"/>
        <v>0.10087472998439335</v>
      </c>
    </row>
    <row r="374" spans="1:11" x14ac:dyDescent="0.25">
      <c r="A374" t="s">
        <v>714</v>
      </c>
      <c r="B374" t="s">
        <v>33</v>
      </c>
      <c r="C374" t="s">
        <v>71</v>
      </c>
      <c r="D374" t="s">
        <v>11</v>
      </c>
      <c r="E374">
        <v>1415.19</v>
      </c>
      <c r="F374">
        <v>5</v>
      </c>
      <c r="G374">
        <v>132.72</v>
      </c>
      <c r="H374">
        <v>0.15</v>
      </c>
      <c r="I374" t="str">
        <f>VLOOKUP(C374,[1]Sheet!$A:$D,3,FALSE)</f>
        <v>South</v>
      </c>
      <c r="J374" t="str">
        <f>VLOOKUP(C374,[1]Sheet!$A:$D,4,FALSE)</f>
        <v>Consumer</v>
      </c>
      <c r="K374">
        <f t="shared" si="5"/>
        <v>9.3782460305683338E-2</v>
      </c>
    </row>
    <row r="375" spans="1:11" x14ac:dyDescent="0.25">
      <c r="A375" t="s">
        <v>715</v>
      </c>
      <c r="B375" t="s">
        <v>474</v>
      </c>
      <c r="C375" t="s">
        <v>71</v>
      </c>
      <c r="D375" t="s">
        <v>15</v>
      </c>
      <c r="E375">
        <v>2472.73</v>
      </c>
      <c r="F375">
        <v>8</v>
      </c>
      <c r="G375">
        <v>180.7</v>
      </c>
      <c r="H375">
        <v>0.2</v>
      </c>
      <c r="I375" t="str">
        <f>VLOOKUP(C375,[1]Sheet!$A:$D,3,FALSE)</f>
        <v>South</v>
      </c>
      <c r="J375" t="str">
        <f>VLOOKUP(C375,[1]Sheet!$A:$D,4,FALSE)</f>
        <v>Consumer</v>
      </c>
      <c r="K375">
        <f t="shared" si="5"/>
        <v>7.3077125282582409E-2</v>
      </c>
    </row>
    <row r="376" spans="1:11" x14ac:dyDescent="0.25">
      <c r="A376" t="s">
        <v>716</v>
      </c>
      <c r="B376" t="s">
        <v>240</v>
      </c>
      <c r="C376" t="s">
        <v>124</v>
      </c>
      <c r="D376" t="s">
        <v>15</v>
      </c>
      <c r="E376">
        <v>1058.19</v>
      </c>
      <c r="F376">
        <v>7</v>
      </c>
      <c r="G376">
        <v>86.87</v>
      </c>
      <c r="H376">
        <v>0.1</v>
      </c>
      <c r="I376" t="str">
        <f>VLOOKUP(C376,[1]Sheet!$A:$D,3,FALSE)</f>
        <v>North</v>
      </c>
      <c r="J376" t="str">
        <f>VLOOKUP(C376,[1]Sheet!$A:$D,4,FALSE)</f>
        <v>Home Office</v>
      </c>
      <c r="K376">
        <f t="shared" si="5"/>
        <v>8.2093007871932258E-2</v>
      </c>
    </row>
    <row r="377" spans="1:11" x14ac:dyDescent="0.25">
      <c r="A377" t="s">
        <v>717</v>
      </c>
      <c r="B377" t="s">
        <v>337</v>
      </c>
      <c r="C377" t="s">
        <v>94</v>
      </c>
      <c r="D377" t="s">
        <v>11</v>
      </c>
      <c r="E377">
        <v>1961.46</v>
      </c>
      <c r="F377">
        <v>7</v>
      </c>
      <c r="G377">
        <v>605.41999999999996</v>
      </c>
      <c r="H377">
        <v>0.2</v>
      </c>
      <c r="I377" t="str">
        <f>VLOOKUP(C377,[1]Sheet!$A:$D,3,FALSE)</f>
        <v>East</v>
      </c>
      <c r="J377" t="str">
        <f>VLOOKUP(C377,[1]Sheet!$A:$D,4,FALSE)</f>
        <v>Corporate</v>
      </c>
      <c r="K377">
        <f t="shared" si="5"/>
        <v>0.30865783650953876</v>
      </c>
    </row>
    <row r="378" spans="1:11" x14ac:dyDescent="0.25">
      <c r="A378" t="s">
        <v>718</v>
      </c>
      <c r="B378" t="s">
        <v>402</v>
      </c>
      <c r="C378" t="s">
        <v>355</v>
      </c>
      <c r="D378" t="s">
        <v>15</v>
      </c>
      <c r="E378">
        <v>1572.13</v>
      </c>
      <c r="F378">
        <v>8</v>
      </c>
      <c r="G378">
        <v>363.1</v>
      </c>
      <c r="H378">
        <v>0.1</v>
      </c>
      <c r="I378" t="str">
        <f>VLOOKUP(C378,[1]Sheet!$A:$D,3,FALSE)</f>
        <v>North</v>
      </c>
      <c r="J378" t="str">
        <f>VLOOKUP(C378,[1]Sheet!$A:$D,4,FALSE)</f>
        <v>Consumer</v>
      </c>
      <c r="K378">
        <f t="shared" si="5"/>
        <v>0.230960543975371</v>
      </c>
    </row>
    <row r="379" spans="1:11" x14ac:dyDescent="0.25">
      <c r="A379" t="s">
        <v>719</v>
      </c>
      <c r="B379" t="s">
        <v>250</v>
      </c>
      <c r="C379" t="s">
        <v>201</v>
      </c>
      <c r="D379" t="s">
        <v>22</v>
      </c>
      <c r="E379">
        <v>4826.42</v>
      </c>
      <c r="F379">
        <v>8</v>
      </c>
      <c r="G379">
        <v>1643.96</v>
      </c>
      <c r="H379">
        <v>0.2</v>
      </c>
      <c r="I379" t="str">
        <f>VLOOKUP(C379,[1]Sheet!$A:$D,3,FALSE)</f>
        <v>North</v>
      </c>
      <c r="J379" t="str">
        <f>VLOOKUP(C379,[1]Sheet!$A:$D,4,FALSE)</f>
        <v>Corporate</v>
      </c>
      <c r="K379">
        <f t="shared" si="5"/>
        <v>0.34061685472876374</v>
      </c>
    </row>
    <row r="380" spans="1:11" x14ac:dyDescent="0.25">
      <c r="A380" t="s">
        <v>720</v>
      </c>
      <c r="B380" t="s">
        <v>721</v>
      </c>
      <c r="C380" t="s">
        <v>141</v>
      </c>
      <c r="D380" t="s">
        <v>11</v>
      </c>
      <c r="E380">
        <v>1696.84</v>
      </c>
      <c r="F380">
        <v>2</v>
      </c>
      <c r="G380">
        <v>227.53</v>
      </c>
      <c r="H380">
        <v>0.2</v>
      </c>
      <c r="I380" t="str">
        <f>VLOOKUP(C380,[1]Sheet!$A:$D,3,FALSE)</f>
        <v>East</v>
      </c>
      <c r="J380" t="str">
        <f>VLOOKUP(C380,[1]Sheet!$A:$D,4,FALSE)</f>
        <v>Corporate</v>
      </c>
      <c r="K380">
        <f t="shared" si="5"/>
        <v>0.13409042691119966</v>
      </c>
    </row>
    <row r="381" spans="1:11" x14ac:dyDescent="0.25">
      <c r="A381" t="s">
        <v>722</v>
      </c>
      <c r="B381" t="s">
        <v>317</v>
      </c>
      <c r="C381" t="s">
        <v>135</v>
      </c>
      <c r="D381" t="s">
        <v>22</v>
      </c>
      <c r="E381">
        <v>3001.91</v>
      </c>
      <c r="F381">
        <v>1</v>
      </c>
      <c r="G381">
        <v>641.47</v>
      </c>
      <c r="H381">
        <v>0.15</v>
      </c>
      <c r="I381" t="str">
        <f>VLOOKUP(C381,[1]Sheet!$A:$D,3,FALSE)</f>
        <v>East</v>
      </c>
      <c r="J381" t="str">
        <f>VLOOKUP(C381,[1]Sheet!$A:$D,4,FALSE)</f>
        <v>Home Office</v>
      </c>
      <c r="K381">
        <f t="shared" si="5"/>
        <v>0.21368728576139859</v>
      </c>
    </row>
    <row r="382" spans="1:11" x14ac:dyDescent="0.25">
      <c r="A382" t="s">
        <v>723</v>
      </c>
      <c r="B382" t="s">
        <v>690</v>
      </c>
      <c r="C382" t="s">
        <v>157</v>
      </c>
      <c r="D382" t="s">
        <v>15</v>
      </c>
      <c r="E382">
        <v>1127.28</v>
      </c>
      <c r="F382">
        <v>7</v>
      </c>
      <c r="G382">
        <v>326.13</v>
      </c>
      <c r="H382">
        <v>0.15</v>
      </c>
      <c r="I382" t="str">
        <f>VLOOKUP(C382,[1]Sheet!$A:$D,3,FALSE)</f>
        <v>South</v>
      </c>
      <c r="J382" t="str">
        <f>VLOOKUP(C382,[1]Sheet!$A:$D,4,FALSE)</f>
        <v>Home Office</v>
      </c>
      <c r="K382">
        <f t="shared" si="5"/>
        <v>0.28930700447093888</v>
      </c>
    </row>
    <row r="383" spans="1:11" x14ac:dyDescent="0.25">
      <c r="A383" t="s">
        <v>724</v>
      </c>
      <c r="B383" t="s">
        <v>377</v>
      </c>
      <c r="C383" t="s">
        <v>355</v>
      </c>
      <c r="D383" t="s">
        <v>15</v>
      </c>
      <c r="E383">
        <v>3203.35</v>
      </c>
      <c r="F383">
        <v>7</v>
      </c>
      <c r="G383">
        <v>392.75</v>
      </c>
      <c r="H383">
        <v>0.15</v>
      </c>
      <c r="I383" t="str">
        <f>VLOOKUP(C383,[1]Sheet!$A:$D,3,FALSE)</f>
        <v>North</v>
      </c>
      <c r="J383" t="str">
        <f>VLOOKUP(C383,[1]Sheet!$A:$D,4,FALSE)</f>
        <v>Consumer</v>
      </c>
      <c r="K383">
        <f t="shared" si="5"/>
        <v>0.12260602182090624</v>
      </c>
    </row>
    <row r="384" spans="1:11" x14ac:dyDescent="0.25">
      <c r="A384" t="s">
        <v>725</v>
      </c>
      <c r="B384" t="s">
        <v>53</v>
      </c>
      <c r="C384" t="s">
        <v>85</v>
      </c>
      <c r="D384" t="s">
        <v>11</v>
      </c>
      <c r="E384">
        <v>2300.4299999999998</v>
      </c>
      <c r="F384">
        <v>9</v>
      </c>
      <c r="G384">
        <v>527.66999999999996</v>
      </c>
      <c r="H384">
        <v>0.2</v>
      </c>
      <c r="I384" t="str">
        <f>VLOOKUP(C384,[1]Sheet!$A:$D,3,FALSE)</f>
        <v>South</v>
      </c>
      <c r="J384" t="str">
        <f>VLOOKUP(C384,[1]Sheet!$A:$D,4,FALSE)</f>
        <v>Home Office</v>
      </c>
      <c r="K384">
        <f t="shared" si="5"/>
        <v>0.22937885525749532</v>
      </c>
    </row>
    <row r="385" spans="1:11" x14ac:dyDescent="0.25">
      <c r="A385" t="s">
        <v>726</v>
      </c>
      <c r="B385" t="s">
        <v>497</v>
      </c>
      <c r="C385" t="s">
        <v>215</v>
      </c>
      <c r="D385" t="s">
        <v>22</v>
      </c>
      <c r="E385">
        <v>2149.67</v>
      </c>
      <c r="F385">
        <v>9</v>
      </c>
      <c r="G385">
        <v>131.19</v>
      </c>
      <c r="H385">
        <v>0.2</v>
      </c>
      <c r="I385" t="str">
        <f>VLOOKUP(C385,[1]Sheet!$A:$D,3,FALSE)</f>
        <v>South</v>
      </c>
      <c r="J385" t="str">
        <f>VLOOKUP(C385,[1]Sheet!$A:$D,4,FALSE)</f>
        <v>Corporate</v>
      </c>
      <c r="K385">
        <f t="shared" si="5"/>
        <v>6.1027971735196564E-2</v>
      </c>
    </row>
    <row r="386" spans="1:11" x14ac:dyDescent="0.25">
      <c r="A386" t="s">
        <v>727</v>
      </c>
      <c r="B386" t="s">
        <v>143</v>
      </c>
      <c r="C386" t="s">
        <v>79</v>
      </c>
      <c r="D386" t="s">
        <v>22</v>
      </c>
      <c r="E386">
        <v>4580.57</v>
      </c>
      <c r="F386">
        <v>6</v>
      </c>
      <c r="G386">
        <v>379.32</v>
      </c>
      <c r="H386">
        <v>0.05</v>
      </c>
      <c r="I386" t="str">
        <f>VLOOKUP(C386,[1]Sheet!$A:$D,3,FALSE)</f>
        <v>East</v>
      </c>
      <c r="J386" t="str">
        <f>VLOOKUP(C386,[1]Sheet!$A:$D,4,FALSE)</f>
        <v>Corporate</v>
      </c>
      <c r="K386">
        <f t="shared" si="5"/>
        <v>8.2810654569191178E-2</v>
      </c>
    </row>
    <row r="387" spans="1:11" x14ac:dyDescent="0.25">
      <c r="A387" t="s">
        <v>728</v>
      </c>
      <c r="B387" t="s">
        <v>524</v>
      </c>
      <c r="C387" t="s">
        <v>286</v>
      </c>
      <c r="D387" t="s">
        <v>22</v>
      </c>
      <c r="E387">
        <v>3102.12</v>
      </c>
      <c r="F387">
        <v>7</v>
      </c>
      <c r="G387">
        <v>679.26</v>
      </c>
      <c r="H387">
        <v>0.1</v>
      </c>
      <c r="I387" t="str">
        <f>VLOOKUP(C387,[1]Sheet!$A:$D,3,FALSE)</f>
        <v>South</v>
      </c>
      <c r="J387" t="str">
        <f>VLOOKUP(C387,[1]Sheet!$A:$D,4,FALSE)</f>
        <v>Consumer</v>
      </c>
      <c r="K387">
        <f t="shared" ref="K387:K450" si="6">G387/E387</f>
        <v>0.21896638427913814</v>
      </c>
    </row>
    <row r="388" spans="1:11" x14ac:dyDescent="0.25">
      <c r="A388" t="s">
        <v>729</v>
      </c>
      <c r="B388" t="s">
        <v>431</v>
      </c>
      <c r="C388" t="s">
        <v>127</v>
      </c>
      <c r="D388" t="s">
        <v>22</v>
      </c>
      <c r="E388">
        <v>619.13</v>
      </c>
      <c r="F388">
        <v>9</v>
      </c>
      <c r="G388">
        <v>49.27</v>
      </c>
      <c r="H388">
        <v>0.2</v>
      </c>
      <c r="I388" t="str">
        <f>VLOOKUP(C388,[1]Sheet!$A:$D,3,FALSE)</f>
        <v>South</v>
      </c>
      <c r="J388" t="str">
        <f>VLOOKUP(C388,[1]Sheet!$A:$D,4,FALSE)</f>
        <v>Consumer</v>
      </c>
      <c r="K388">
        <f t="shared" si="6"/>
        <v>7.9579409817001276E-2</v>
      </c>
    </row>
    <row r="389" spans="1:11" x14ac:dyDescent="0.25">
      <c r="A389" t="s">
        <v>730</v>
      </c>
      <c r="B389" t="s">
        <v>573</v>
      </c>
      <c r="C389" t="s">
        <v>88</v>
      </c>
      <c r="D389" t="s">
        <v>11</v>
      </c>
      <c r="E389">
        <v>3469.56</v>
      </c>
      <c r="F389">
        <v>8</v>
      </c>
      <c r="G389">
        <v>403.54</v>
      </c>
      <c r="H389">
        <v>0.2</v>
      </c>
      <c r="I389" t="str">
        <f>VLOOKUP(C389,[1]Sheet!$A:$D,3,FALSE)</f>
        <v>North</v>
      </c>
      <c r="J389" t="str">
        <f>VLOOKUP(C389,[1]Sheet!$A:$D,4,FALSE)</f>
        <v>Home Office</v>
      </c>
      <c r="K389">
        <f t="shared" si="6"/>
        <v>0.11630869620355319</v>
      </c>
    </row>
    <row r="390" spans="1:11" x14ac:dyDescent="0.25">
      <c r="A390" t="s">
        <v>731</v>
      </c>
      <c r="B390" t="s">
        <v>732</v>
      </c>
      <c r="C390" t="s">
        <v>215</v>
      </c>
      <c r="D390" t="s">
        <v>11</v>
      </c>
      <c r="E390">
        <v>2552.2800000000002</v>
      </c>
      <c r="F390">
        <v>2</v>
      </c>
      <c r="G390">
        <v>391.75</v>
      </c>
      <c r="H390">
        <v>0.1</v>
      </c>
      <c r="I390" t="str">
        <f>VLOOKUP(C390,[1]Sheet!$A:$D,3,FALSE)</f>
        <v>South</v>
      </c>
      <c r="J390" t="str">
        <f>VLOOKUP(C390,[1]Sheet!$A:$D,4,FALSE)</f>
        <v>Corporate</v>
      </c>
      <c r="K390">
        <f t="shared" si="6"/>
        <v>0.15349021267259078</v>
      </c>
    </row>
    <row r="391" spans="1:11" x14ac:dyDescent="0.25">
      <c r="A391" t="s">
        <v>733</v>
      </c>
      <c r="B391" t="s">
        <v>257</v>
      </c>
      <c r="C391" t="s">
        <v>138</v>
      </c>
      <c r="D391" t="s">
        <v>11</v>
      </c>
      <c r="E391">
        <v>4610.68</v>
      </c>
      <c r="F391">
        <v>5</v>
      </c>
      <c r="G391">
        <v>349.29</v>
      </c>
      <c r="H391">
        <v>0.1</v>
      </c>
      <c r="I391" t="str">
        <f>VLOOKUP(C391,[1]Sheet!$A:$D,3,FALSE)</f>
        <v>West</v>
      </c>
      <c r="J391" t="str">
        <f>VLOOKUP(C391,[1]Sheet!$A:$D,4,FALSE)</f>
        <v>Home Office</v>
      </c>
      <c r="K391">
        <f t="shared" si="6"/>
        <v>7.5756721351297421E-2</v>
      </c>
    </row>
    <row r="392" spans="1:11" x14ac:dyDescent="0.25">
      <c r="A392" t="s">
        <v>734</v>
      </c>
      <c r="B392" t="s">
        <v>735</v>
      </c>
      <c r="C392" t="s">
        <v>102</v>
      </c>
      <c r="D392" t="s">
        <v>11</v>
      </c>
      <c r="E392">
        <v>3942.92</v>
      </c>
      <c r="F392">
        <v>2</v>
      </c>
      <c r="G392">
        <v>813.56</v>
      </c>
      <c r="H392">
        <v>0.15</v>
      </c>
      <c r="I392" t="str">
        <f>VLOOKUP(C392,[1]Sheet!$A:$D,3,FALSE)</f>
        <v>South</v>
      </c>
      <c r="J392" t="str">
        <f>VLOOKUP(C392,[1]Sheet!$A:$D,4,FALSE)</f>
        <v>Home Office</v>
      </c>
      <c r="K392">
        <f t="shared" si="6"/>
        <v>0.20633439177056595</v>
      </c>
    </row>
    <row r="393" spans="1:11" x14ac:dyDescent="0.25">
      <c r="A393" t="s">
        <v>736</v>
      </c>
      <c r="B393" t="s">
        <v>536</v>
      </c>
      <c r="C393" t="s">
        <v>119</v>
      </c>
      <c r="D393" t="s">
        <v>15</v>
      </c>
      <c r="E393">
        <v>3514.14</v>
      </c>
      <c r="F393">
        <v>2</v>
      </c>
      <c r="G393">
        <v>511.91</v>
      </c>
      <c r="H393">
        <v>0</v>
      </c>
      <c r="I393" t="str">
        <f>VLOOKUP(C393,[1]Sheet!$A:$D,3,FALSE)</f>
        <v>East</v>
      </c>
      <c r="J393" t="str">
        <f>VLOOKUP(C393,[1]Sheet!$A:$D,4,FALSE)</f>
        <v>Corporate</v>
      </c>
      <c r="K393">
        <f t="shared" si="6"/>
        <v>0.14567148719174536</v>
      </c>
    </row>
    <row r="394" spans="1:11" x14ac:dyDescent="0.25">
      <c r="A394" t="s">
        <v>737</v>
      </c>
      <c r="B394" t="s">
        <v>36</v>
      </c>
      <c r="C394" t="s">
        <v>208</v>
      </c>
      <c r="D394" t="s">
        <v>22</v>
      </c>
      <c r="E394">
        <v>3275.05</v>
      </c>
      <c r="F394">
        <v>4</v>
      </c>
      <c r="G394">
        <v>829.05</v>
      </c>
      <c r="H394">
        <v>0.2</v>
      </c>
      <c r="I394" t="str">
        <f>VLOOKUP(C394,[1]Sheet!$A:$D,3,FALSE)</f>
        <v>South</v>
      </c>
      <c r="J394" t="str">
        <f>VLOOKUP(C394,[1]Sheet!$A:$D,4,FALSE)</f>
        <v>Consumer</v>
      </c>
      <c r="K394">
        <f t="shared" si="6"/>
        <v>0.25314117341719972</v>
      </c>
    </row>
    <row r="395" spans="1:11" x14ac:dyDescent="0.25">
      <c r="A395" t="s">
        <v>738</v>
      </c>
      <c r="B395" t="s">
        <v>81</v>
      </c>
      <c r="C395" t="s">
        <v>201</v>
      </c>
      <c r="D395" t="s">
        <v>11</v>
      </c>
      <c r="E395">
        <v>2804.36</v>
      </c>
      <c r="F395">
        <v>4</v>
      </c>
      <c r="G395">
        <v>418.68</v>
      </c>
      <c r="H395">
        <v>0.15</v>
      </c>
      <c r="I395" t="str">
        <f>VLOOKUP(C395,[1]Sheet!$A:$D,3,FALSE)</f>
        <v>North</v>
      </c>
      <c r="J395" t="str">
        <f>VLOOKUP(C395,[1]Sheet!$A:$D,4,FALSE)</f>
        <v>Corporate</v>
      </c>
      <c r="K395">
        <f t="shared" si="6"/>
        <v>0.14929609607896274</v>
      </c>
    </row>
    <row r="396" spans="1:11" x14ac:dyDescent="0.25">
      <c r="A396" t="s">
        <v>739</v>
      </c>
      <c r="B396" t="s">
        <v>264</v>
      </c>
      <c r="C396" t="s">
        <v>10</v>
      </c>
      <c r="D396" t="s">
        <v>11</v>
      </c>
      <c r="E396">
        <v>1003.81</v>
      </c>
      <c r="F396">
        <v>1</v>
      </c>
      <c r="G396">
        <v>243.07</v>
      </c>
      <c r="H396">
        <v>0.2</v>
      </c>
      <c r="I396" t="str">
        <f>VLOOKUP(C396,[1]Sheet!$A:$D,3,FALSE)</f>
        <v>North</v>
      </c>
      <c r="J396" t="str">
        <f>VLOOKUP(C396,[1]Sheet!$A:$D,4,FALSE)</f>
        <v>Consumer</v>
      </c>
      <c r="K396">
        <f t="shared" si="6"/>
        <v>0.24214741833613931</v>
      </c>
    </row>
    <row r="397" spans="1:11" x14ac:dyDescent="0.25">
      <c r="A397" t="s">
        <v>740</v>
      </c>
      <c r="B397" t="s">
        <v>741</v>
      </c>
      <c r="C397" t="s">
        <v>135</v>
      </c>
      <c r="D397" t="s">
        <v>22</v>
      </c>
      <c r="E397">
        <v>2302.92</v>
      </c>
      <c r="F397">
        <v>4</v>
      </c>
      <c r="G397">
        <v>411.91</v>
      </c>
      <c r="H397">
        <v>0.05</v>
      </c>
      <c r="I397" t="str">
        <f>VLOOKUP(C397,[1]Sheet!$A:$D,3,FALSE)</f>
        <v>East</v>
      </c>
      <c r="J397" t="str">
        <f>VLOOKUP(C397,[1]Sheet!$A:$D,4,FALSE)</f>
        <v>Home Office</v>
      </c>
      <c r="K397">
        <f t="shared" si="6"/>
        <v>0.17886422454970213</v>
      </c>
    </row>
    <row r="398" spans="1:11" x14ac:dyDescent="0.25">
      <c r="A398" t="s">
        <v>742</v>
      </c>
      <c r="B398" t="s">
        <v>743</v>
      </c>
      <c r="C398" t="s">
        <v>176</v>
      </c>
      <c r="D398" t="s">
        <v>22</v>
      </c>
      <c r="E398">
        <v>3786.39</v>
      </c>
      <c r="F398">
        <v>2</v>
      </c>
      <c r="G398">
        <v>1107.97</v>
      </c>
      <c r="H398">
        <v>0.2</v>
      </c>
      <c r="I398" t="str">
        <f>VLOOKUP(C398,[1]Sheet!$A:$D,3,FALSE)</f>
        <v>East</v>
      </c>
      <c r="J398" t="str">
        <f>VLOOKUP(C398,[1]Sheet!$A:$D,4,FALSE)</f>
        <v>Home Office</v>
      </c>
      <c r="K398">
        <f t="shared" si="6"/>
        <v>0.29261909100752964</v>
      </c>
    </row>
    <row r="399" spans="1:11" x14ac:dyDescent="0.25">
      <c r="A399" t="s">
        <v>744</v>
      </c>
      <c r="B399" t="s">
        <v>186</v>
      </c>
      <c r="C399" t="s">
        <v>676</v>
      </c>
      <c r="D399" t="s">
        <v>11</v>
      </c>
      <c r="E399">
        <v>1892.39</v>
      </c>
      <c r="F399">
        <v>8</v>
      </c>
      <c r="G399">
        <v>206.5</v>
      </c>
      <c r="H399">
        <v>0.2</v>
      </c>
      <c r="I399" t="str">
        <f>VLOOKUP(C399,[1]Sheet!$A:$D,3,FALSE)</f>
        <v>North</v>
      </c>
      <c r="J399" t="str">
        <f>VLOOKUP(C399,[1]Sheet!$A:$D,4,FALSE)</f>
        <v>Home Office</v>
      </c>
      <c r="K399">
        <f t="shared" si="6"/>
        <v>0.1091212699285031</v>
      </c>
    </row>
    <row r="400" spans="1:11" x14ac:dyDescent="0.25">
      <c r="A400" t="s">
        <v>745</v>
      </c>
      <c r="B400" t="s">
        <v>746</v>
      </c>
      <c r="C400" t="s">
        <v>79</v>
      </c>
      <c r="D400" t="s">
        <v>22</v>
      </c>
      <c r="E400">
        <v>1635.68</v>
      </c>
      <c r="F400">
        <v>2</v>
      </c>
      <c r="G400">
        <v>272.49</v>
      </c>
      <c r="H400">
        <v>0.1</v>
      </c>
      <c r="I400" t="str">
        <f>VLOOKUP(C400,[1]Sheet!$A:$D,3,FALSE)</f>
        <v>East</v>
      </c>
      <c r="J400" t="str">
        <f>VLOOKUP(C400,[1]Sheet!$A:$D,4,FALSE)</f>
        <v>Corporate</v>
      </c>
      <c r="K400">
        <f t="shared" si="6"/>
        <v>0.16659126479506994</v>
      </c>
    </row>
    <row r="401" spans="1:11" x14ac:dyDescent="0.25">
      <c r="A401" t="s">
        <v>747</v>
      </c>
      <c r="B401" t="s">
        <v>641</v>
      </c>
      <c r="C401" t="s">
        <v>91</v>
      </c>
      <c r="D401" t="s">
        <v>22</v>
      </c>
      <c r="E401">
        <v>4243.04</v>
      </c>
      <c r="F401">
        <v>5</v>
      </c>
      <c r="G401">
        <v>998</v>
      </c>
      <c r="H401">
        <v>0.2</v>
      </c>
      <c r="I401" t="str">
        <f>VLOOKUP(C401,[1]Sheet!$A:$D,3,FALSE)</f>
        <v>East</v>
      </c>
      <c r="J401" t="str">
        <f>VLOOKUP(C401,[1]Sheet!$A:$D,4,FALSE)</f>
        <v>Consumer</v>
      </c>
      <c r="K401">
        <f t="shared" si="6"/>
        <v>0.23520871827746145</v>
      </c>
    </row>
    <row r="402" spans="1:11" x14ac:dyDescent="0.25">
      <c r="A402" t="s">
        <v>748</v>
      </c>
      <c r="B402" t="s">
        <v>749</v>
      </c>
      <c r="C402" t="s">
        <v>359</v>
      </c>
      <c r="D402" t="s">
        <v>15</v>
      </c>
      <c r="E402">
        <v>515.28</v>
      </c>
      <c r="F402">
        <v>5</v>
      </c>
      <c r="G402">
        <v>46.47</v>
      </c>
      <c r="H402">
        <v>0</v>
      </c>
      <c r="I402" t="str">
        <f>VLOOKUP(C402,[1]Sheet!$A:$D,3,FALSE)</f>
        <v>East</v>
      </c>
      <c r="J402" t="str">
        <f>VLOOKUP(C402,[1]Sheet!$A:$D,4,FALSE)</f>
        <v>Home Office</v>
      </c>
      <c r="K402">
        <f t="shared" si="6"/>
        <v>9.0183977643223098E-2</v>
      </c>
    </row>
    <row r="403" spans="1:11" x14ac:dyDescent="0.25">
      <c r="A403" t="s">
        <v>750</v>
      </c>
      <c r="B403" t="s">
        <v>751</v>
      </c>
      <c r="C403" t="s">
        <v>676</v>
      </c>
      <c r="D403" t="s">
        <v>11</v>
      </c>
      <c r="E403">
        <v>1929.2</v>
      </c>
      <c r="F403">
        <v>10</v>
      </c>
      <c r="G403">
        <v>178.27</v>
      </c>
      <c r="H403">
        <v>0.05</v>
      </c>
      <c r="I403" t="str">
        <f>VLOOKUP(C403,[1]Sheet!$A:$D,3,FALSE)</f>
        <v>North</v>
      </c>
      <c r="J403" t="str">
        <f>VLOOKUP(C403,[1]Sheet!$A:$D,4,FALSE)</f>
        <v>Home Office</v>
      </c>
      <c r="K403">
        <f t="shared" si="6"/>
        <v>9.2406178726933449E-2</v>
      </c>
    </row>
    <row r="404" spans="1:11" x14ac:dyDescent="0.25">
      <c r="A404" t="s">
        <v>752</v>
      </c>
      <c r="B404" t="s">
        <v>438</v>
      </c>
      <c r="C404" t="s">
        <v>235</v>
      </c>
      <c r="D404" t="s">
        <v>22</v>
      </c>
      <c r="E404">
        <v>1980.18</v>
      </c>
      <c r="F404">
        <v>3</v>
      </c>
      <c r="G404">
        <v>209.36</v>
      </c>
      <c r="H404">
        <v>0.2</v>
      </c>
      <c r="I404" t="str">
        <f>VLOOKUP(C404,[1]Sheet!$A:$D,3,FALSE)</f>
        <v>South</v>
      </c>
      <c r="J404" t="str">
        <f>VLOOKUP(C404,[1]Sheet!$A:$D,4,FALSE)</f>
        <v>Home Office</v>
      </c>
      <c r="K404">
        <f t="shared" si="6"/>
        <v>0.10572776212263532</v>
      </c>
    </row>
    <row r="405" spans="1:11" x14ac:dyDescent="0.25">
      <c r="A405" t="s">
        <v>753</v>
      </c>
      <c r="B405" t="s">
        <v>508</v>
      </c>
      <c r="C405" t="s">
        <v>187</v>
      </c>
      <c r="D405" t="s">
        <v>11</v>
      </c>
      <c r="E405">
        <v>2499.25</v>
      </c>
      <c r="F405">
        <v>10</v>
      </c>
      <c r="G405">
        <v>230.15</v>
      </c>
      <c r="H405">
        <v>0</v>
      </c>
      <c r="I405" t="str">
        <f>VLOOKUP(C405,[1]Sheet!$A:$D,3,FALSE)</f>
        <v>West</v>
      </c>
      <c r="J405" t="str">
        <f>VLOOKUP(C405,[1]Sheet!$A:$D,4,FALSE)</f>
        <v>Home Office</v>
      </c>
      <c r="K405">
        <f t="shared" si="6"/>
        <v>9.2087626287886373E-2</v>
      </c>
    </row>
    <row r="406" spans="1:11" x14ac:dyDescent="0.25">
      <c r="A406" t="s">
        <v>754</v>
      </c>
      <c r="B406" t="s">
        <v>229</v>
      </c>
      <c r="C406" t="s">
        <v>91</v>
      </c>
      <c r="D406" t="s">
        <v>11</v>
      </c>
      <c r="E406">
        <v>4764.03</v>
      </c>
      <c r="F406">
        <v>9</v>
      </c>
      <c r="G406">
        <v>930.81</v>
      </c>
      <c r="H406">
        <v>0.2</v>
      </c>
      <c r="I406" t="str">
        <f>VLOOKUP(C406,[1]Sheet!$A:$D,3,FALSE)</f>
        <v>East</v>
      </c>
      <c r="J406" t="str">
        <f>VLOOKUP(C406,[1]Sheet!$A:$D,4,FALSE)</f>
        <v>Consumer</v>
      </c>
      <c r="K406">
        <f t="shared" si="6"/>
        <v>0.19538290061145711</v>
      </c>
    </row>
    <row r="407" spans="1:11" x14ac:dyDescent="0.25">
      <c r="A407" t="s">
        <v>755</v>
      </c>
      <c r="B407" t="s">
        <v>358</v>
      </c>
      <c r="C407" t="s">
        <v>271</v>
      </c>
      <c r="D407" t="s">
        <v>22</v>
      </c>
      <c r="E407">
        <v>2525.35</v>
      </c>
      <c r="F407">
        <v>8</v>
      </c>
      <c r="G407">
        <v>645</v>
      </c>
      <c r="H407">
        <v>0.15</v>
      </c>
      <c r="I407" t="str">
        <f>VLOOKUP(C407,[1]Sheet!$A:$D,3,FALSE)</f>
        <v>South</v>
      </c>
      <c r="J407" t="str">
        <f>VLOOKUP(C407,[1]Sheet!$A:$D,4,FALSE)</f>
        <v>Home Office</v>
      </c>
      <c r="K407">
        <f t="shared" si="6"/>
        <v>0.25541014116855093</v>
      </c>
    </row>
    <row r="408" spans="1:11" x14ac:dyDescent="0.25">
      <c r="A408" t="s">
        <v>756</v>
      </c>
      <c r="B408" t="s">
        <v>164</v>
      </c>
      <c r="C408" t="s">
        <v>187</v>
      </c>
      <c r="D408" t="s">
        <v>11</v>
      </c>
      <c r="E408">
        <v>505.09</v>
      </c>
      <c r="F408">
        <v>1</v>
      </c>
      <c r="G408">
        <v>29.93</v>
      </c>
      <c r="H408">
        <v>0.1</v>
      </c>
      <c r="I408" t="str">
        <f>VLOOKUP(C408,[1]Sheet!$A:$D,3,FALSE)</f>
        <v>West</v>
      </c>
      <c r="J408" t="str">
        <f>VLOOKUP(C408,[1]Sheet!$A:$D,4,FALSE)</f>
        <v>Home Office</v>
      </c>
      <c r="K408">
        <f t="shared" si="6"/>
        <v>5.925676612088935E-2</v>
      </c>
    </row>
    <row r="409" spans="1:11" x14ac:dyDescent="0.25">
      <c r="A409" t="s">
        <v>757</v>
      </c>
      <c r="B409" t="s">
        <v>506</v>
      </c>
      <c r="C409" t="s">
        <v>218</v>
      </c>
      <c r="D409" t="s">
        <v>22</v>
      </c>
      <c r="E409">
        <v>2734.28</v>
      </c>
      <c r="F409">
        <v>8</v>
      </c>
      <c r="G409">
        <v>274.69</v>
      </c>
      <c r="H409">
        <v>0.2</v>
      </c>
      <c r="I409" t="str">
        <f>VLOOKUP(C409,[1]Sheet!$A:$D,3,FALSE)</f>
        <v>South</v>
      </c>
      <c r="J409" t="str">
        <f>VLOOKUP(C409,[1]Sheet!$A:$D,4,FALSE)</f>
        <v>Corporate</v>
      </c>
      <c r="K409">
        <f t="shared" si="6"/>
        <v>0.10046154746404903</v>
      </c>
    </row>
    <row r="410" spans="1:11" x14ac:dyDescent="0.25">
      <c r="A410" t="s">
        <v>758</v>
      </c>
      <c r="B410" t="s">
        <v>759</v>
      </c>
      <c r="C410" t="s">
        <v>132</v>
      </c>
      <c r="D410" t="s">
        <v>11</v>
      </c>
      <c r="E410">
        <v>654.73</v>
      </c>
      <c r="F410">
        <v>9</v>
      </c>
      <c r="G410">
        <v>55.17</v>
      </c>
      <c r="H410">
        <v>0</v>
      </c>
      <c r="I410" t="str">
        <f>VLOOKUP(C410,[1]Sheet!$A:$D,3,FALSE)</f>
        <v>North</v>
      </c>
      <c r="J410" t="str">
        <f>VLOOKUP(C410,[1]Sheet!$A:$D,4,FALSE)</f>
        <v>Home Office</v>
      </c>
      <c r="K410">
        <f t="shared" si="6"/>
        <v>8.4263742305988723E-2</v>
      </c>
    </row>
    <row r="411" spans="1:11" x14ac:dyDescent="0.25">
      <c r="A411" t="s">
        <v>760</v>
      </c>
      <c r="B411" t="s">
        <v>761</v>
      </c>
      <c r="C411" t="s">
        <v>227</v>
      </c>
      <c r="D411" t="s">
        <v>15</v>
      </c>
      <c r="E411">
        <v>3623</v>
      </c>
      <c r="F411">
        <v>4</v>
      </c>
      <c r="G411">
        <v>774.98</v>
      </c>
      <c r="H411">
        <v>0.1</v>
      </c>
      <c r="I411" t="str">
        <f>VLOOKUP(C411,[1]Sheet!$A:$D,3,FALSE)</f>
        <v>South</v>
      </c>
      <c r="J411" t="str">
        <f>VLOOKUP(C411,[1]Sheet!$A:$D,4,FALSE)</f>
        <v>Home Office</v>
      </c>
      <c r="K411">
        <f t="shared" si="6"/>
        <v>0.21390560309136075</v>
      </c>
    </row>
    <row r="412" spans="1:11" x14ac:dyDescent="0.25">
      <c r="A412" t="s">
        <v>762</v>
      </c>
      <c r="B412" t="s">
        <v>534</v>
      </c>
      <c r="C412" t="s">
        <v>484</v>
      </c>
      <c r="D412" t="s">
        <v>11</v>
      </c>
      <c r="E412">
        <v>2303.69</v>
      </c>
      <c r="F412">
        <v>2</v>
      </c>
      <c r="G412">
        <v>356.09</v>
      </c>
      <c r="H412">
        <v>0.05</v>
      </c>
      <c r="I412" t="str">
        <f>VLOOKUP(C412,[1]Sheet!$A:$D,3,FALSE)</f>
        <v>North</v>
      </c>
      <c r="J412" t="str">
        <f>VLOOKUP(C412,[1]Sheet!$A:$D,4,FALSE)</f>
        <v>Home Office</v>
      </c>
      <c r="K412">
        <f t="shared" si="6"/>
        <v>0.15457374907214078</v>
      </c>
    </row>
    <row r="413" spans="1:11" x14ac:dyDescent="0.25">
      <c r="A413" t="s">
        <v>763</v>
      </c>
      <c r="B413" t="s">
        <v>178</v>
      </c>
      <c r="C413" t="s">
        <v>418</v>
      </c>
      <c r="D413" t="s">
        <v>22</v>
      </c>
      <c r="E413">
        <v>4072.44</v>
      </c>
      <c r="F413">
        <v>10</v>
      </c>
      <c r="G413">
        <v>921.91</v>
      </c>
      <c r="H413">
        <v>0.15</v>
      </c>
      <c r="I413" t="str">
        <f>VLOOKUP(C413,[1]Sheet!$A:$D,3,FALSE)</f>
        <v>South</v>
      </c>
      <c r="J413" t="str">
        <f>VLOOKUP(C413,[1]Sheet!$A:$D,4,FALSE)</f>
        <v>Home Office</v>
      </c>
      <c r="K413">
        <f t="shared" si="6"/>
        <v>0.22637779807682862</v>
      </c>
    </row>
    <row r="414" spans="1:11" x14ac:dyDescent="0.25">
      <c r="A414" t="s">
        <v>764</v>
      </c>
      <c r="B414" t="s">
        <v>765</v>
      </c>
      <c r="C414" t="s">
        <v>187</v>
      </c>
      <c r="D414" t="s">
        <v>15</v>
      </c>
      <c r="E414">
        <v>3119.14</v>
      </c>
      <c r="F414">
        <v>10</v>
      </c>
      <c r="G414">
        <v>890.37</v>
      </c>
      <c r="H414">
        <v>0.1</v>
      </c>
      <c r="I414" t="str">
        <f>VLOOKUP(C414,[1]Sheet!$A:$D,3,FALSE)</f>
        <v>West</v>
      </c>
      <c r="J414" t="str">
        <f>VLOOKUP(C414,[1]Sheet!$A:$D,4,FALSE)</f>
        <v>Home Office</v>
      </c>
      <c r="K414">
        <f t="shared" si="6"/>
        <v>0.28545368274588512</v>
      </c>
    </row>
    <row r="415" spans="1:11" x14ac:dyDescent="0.25">
      <c r="A415" t="s">
        <v>766</v>
      </c>
      <c r="B415" t="s">
        <v>767</v>
      </c>
      <c r="C415" t="s">
        <v>28</v>
      </c>
      <c r="D415" t="s">
        <v>22</v>
      </c>
      <c r="E415">
        <v>1477.32</v>
      </c>
      <c r="F415">
        <v>5</v>
      </c>
      <c r="G415">
        <v>312.64999999999998</v>
      </c>
      <c r="H415">
        <v>0.1</v>
      </c>
      <c r="I415" t="str">
        <f>VLOOKUP(C415,[1]Sheet!$A:$D,3,FALSE)</f>
        <v>East</v>
      </c>
      <c r="J415" t="str">
        <f>VLOOKUP(C415,[1]Sheet!$A:$D,4,FALSE)</f>
        <v>Consumer</v>
      </c>
      <c r="K415">
        <f t="shared" si="6"/>
        <v>0.21163322773671242</v>
      </c>
    </row>
    <row r="416" spans="1:11" x14ac:dyDescent="0.25">
      <c r="A416" t="s">
        <v>768</v>
      </c>
      <c r="B416" t="s">
        <v>335</v>
      </c>
      <c r="C416" t="s">
        <v>235</v>
      </c>
      <c r="D416" t="s">
        <v>15</v>
      </c>
      <c r="E416">
        <v>1409.98</v>
      </c>
      <c r="F416">
        <v>3</v>
      </c>
      <c r="G416">
        <v>433.43</v>
      </c>
      <c r="H416">
        <v>0.15</v>
      </c>
      <c r="I416" t="str">
        <f>VLOOKUP(C416,[1]Sheet!$A:$D,3,FALSE)</f>
        <v>South</v>
      </c>
      <c r="J416" t="str">
        <f>VLOOKUP(C416,[1]Sheet!$A:$D,4,FALSE)</f>
        <v>Home Office</v>
      </c>
      <c r="K416">
        <f t="shared" si="6"/>
        <v>0.30740152342586419</v>
      </c>
    </row>
    <row r="417" spans="1:11" x14ac:dyDescent="0.25">
      <c r="A417" t="s">
        <v>769</v>
      </c>
      <c r="B417" t="s">
        <v>232</v>
      </c>
      <c r="C417" t="s">
        <v>25</v>
      </c>
      <c r="D417" t="s">
        <v>22</v>
      </c>
      <c r="E417">
        <v>4963.18</v>
      </c>
      <c r="F417">
        <v>3</v>
      </c>
      <c r="G417">
        <v>1539.15</v>
      </c>
      <c r="H417">
        <v>0.05</v>
      </c>
      <c r="I417" t="str">
        <f>VLOOKUP(C417,[1]Sheet!$A:$D,3,FALSE)</f>
        <v>South</v>
      </c>
      <c r="J417" t="str">
        <f>VLOOKUP(C417,[1]Sheet!$A:$D,4,FALSE)</f>
        <v>Consumer</v>
      </c>
      <c r="K417">
        <f t="shared" si="6"/>
        <v>0.31011367711829918</v>
      </c>
    </row>
    <row r="418" spans="1:11" x14ac:dyDescent="0.25">
      <c r="A418" t="s">
        <v>770</v>
      </c>
      <c r="B418" t="s">
        <v>189</v>
      </c>
      <c r="C418" t="s">
        <v>318</v>
      </c>
      <c r="D418" t="s">
        <v>11</v>
      </c>
      <c r="E418">
        <v>3585.83</v>
      </c>
      <c r="F418">
        <v>8</v>
      </c>
      <c r="G418">
        <v>1070.53</v>
      </c>
      <c r="H418">
        <v>0.05</v>
      </c>
      <c r="I418" t="str">
        <f>VLOOKUP(C418,[1]Sheet!$A:$D,3,FALSE)</f>
        <v>West</v>
      </c>
      <c r="J418" t="str">
        <f>VLOOKUP(C418,[1]Sheet!$A:$D,4,FALSE)</f>
        <v>Consumer</v>
      </c>
      <c r="K418">
        <f t="shared" si="6"/>
        <v>0.29854454896077059</v>
      </c>
    </row>
    <row r="419" spans="1:11" x14ac:dyDescent="0.25">
      <c r="A419" t="s">
        <v>771</v>
      </c>
      <c r="B419" t="s">
        <v>702</v>
      </c>
      <c r="C419" t="s">
        <v>235</v>
      </c>
      <c r="D419" t="s">
        <v>11</v>
      </c>
      <c r="E419">
        <v>3198.77</v>
      </c>
      <c r="F419">
        <v>2</v>
      </c>
      <c r="G419">
        <v>762.41</v>
      </c>
      <c r="H419">
        <v>0</v>
      </c>
      <c r="I419" t="str">
        <f>VLOOKUP(C419,[1]Sheet!$A:$D,3,FALSE)</f>
        <v>South</v>
      </c>
      <c r="J419" t="str">
        <f>VLOOKUP(C419,[1]Sheet!$A:$D,4,FALSE)</f>
        <v>Home Office</v>
      </c>
      <c r="K419">
        <f t="shared" si="6"/>
        <v>0.23834473875896048</v>
      </c>
    </row>
    <row r="420" spans="1:11" x14ac:dyDescent="0.25">
      <c r="A420" t="s">
        <v>772</v>
      </c>
      <c r="B420" t="s">
        <v>773</v>
      </c>
      <c r="C420" t="s">
        <v>104</v>
      </c>
      <c r="D420" t="s">
        <v>11</v>
      </c>
      <c r="E420">
        <v>2626.51</v>
      </c>
      <c r="F420">
        <v>8</v>
      </c>
      <c r="G420">
        <v>350.55</v>
      </c>
      <c r="H420">
        <v>0.1</v>
      </c>
      <c r="I420" t="str">
        <f>VLOOKUP(C420,[1]Sheet!$A:$D,3,FALSE)</f>
        <v>South</v>
      </c>
      <c r="J420" t="str">
        <f>VLOOKUP(C420,[1]Sheet!$A:$D,4,FALSE)</f>
        <v>Home Office</v>
      </c>
      <c r="K420">
        <f t="shared" si="6"/>
        <v>0.13346608236785695</v>
      </c>
    </row>
    <row r="421" spans="1:11" x14ac:dyDescent="0.25">
      <c r="A421" t="s">
        <v>774</v>
      </c>
      <c r="B421" t="s">
        <v>131</v>
      </c>
      <c r="C421" t="s">
        <v>88</v>
      </c>
      <c r="D421" t="s">
        <v>22</v>
      </c>
      <c r="E421">
        <v>112.12</v>
      </c>
      <c r="F421">
        <v>8</v>
      </c>
      <c r="G421">
        <v>31.64</v>
      </c>
      <c r="H421">
        <v>0.1</v>
      </c>
      <c r="I421" t="str">
        <f>VLOOKUP(C421,[1]Sheet!$A:$D,3,FALSE)</f>
        <v>North</v>
      </c>
      <c r="J421" t="str">
        <f>VLOOKUP(C421,[1]Sheet!$A:$D,4,FALSE)</f>
        <v>Home Office</v>
      </c>
      <c r="K421">
        <f t="shared" si="6"/>
        <v>0.28219764537995007</v>
      </c>
    </row>
    <row r="422" spans="1:11" x14ac:dyDescent="0.25">
      <c r="A422" t="s">
        <v>775</v>
      </c>
      <c r="B422" t="s">
        <v>170</v>
      </c>
      <c r="C422" t="s">
        <v>311</v>
      </c>
      <c r="D422" t="s">
        <v>15</v>
      </c>
      <c r="E422">
        <v>3998.82</v>
      </c>
      <c r="F422">
        <v>8</v>
      </c>
      <c r="G422">
        <v>677.06</v>
      </c>
      <c r="H422">
        <v>0.1</v>
      </c>
      <c r="I422" t="str">
        <f>VLOOKUP(C422,[1]Sheet!$A:$D,3,FALSE)</f>
        <v>North</v>
      </c>
      <c r="J422" t="str">
        <f>VLOOKUP(C422,[1]Sheet!$A:$D,4,FALSE)</f>
        <v>Home Office</v>
      </c>
      <c r="K422">
        <f t="shared" si="6"/>
        <v>0.16931494790963333</v>
      </c>
    </row>
    <row r="423" spans="1:11" x14ac:dyDescent="0.25">
      <c r="A423" t="s">
        <v>776</v>
      </c>
      <c r="B423" t="s">
        <v>552</v>
      </c>
      <c r="C423" t="s">
        <v>428</v>
      </c>
      <c r="D423" t="s">
        <v>15</v>
      </c>
      <c r="E423">
        <v>4158.88</v>
      </c>
      <c r="F423">
        <v>10</v>
      </c>
      <c r="G423">
        <v>629.35</v>
      </c>
      <c r="H423">
        <v>0.15</v>
      </c>
      <c r="I423" t="str">
        <f>VLOOKUP(C423,[1]Sheet!$A:$D,3,FALSE)</f>
        <v>South</v>
      </c>
      <c r="J423" t="str">
        <f>VLOOKUP(C423,[1]Sheet!$A:$D,4,FALSE)</f>
        <v>Home Office</v>
      </c>
      <c r="K423">
        <f t="shared" si="6"/>
        <v>0.15132679952294847</v>
      </c>
    </row>
    <row r="424" spans="1:11" x14ac:dyDescent="0.25">
      <c r="A424" t="s">
        <v>777</v>
      </c>
      <c r="B424" t="s">
        <v>778</v>
      </c>
      <c r="C424" t="s">
        <v>208</v>
      </c>
      <c r="D424" t="s">
        <v>15</v>
      </c>
      <c r="E424">
        <v>4481.3599999999997</v>
      </c>
      <c r="F424">
        <v>8</v>
      </c>
      <c r="G424">
        <v>1248.8499999999999</v>
      </c>
      <c r="H424">
        <v>0</v>
      </c>
      <c r="I424" t="str">
        <f>VLOOKUP(C424,[1]Sheet!$A:$D,3,FALSE)</f>
        <v>South</v>
      </c>
      <c r="J424" t="str">
        <f>VLOOKUP(C424,[1]Sheet!$A:$D,4,FALSE)</f>
        <v>Consumer</v>
      </c>
      <c r="K424">
        <f t="shared" si="6"/>
        <v>0.2786765624721067</v>
      </c>
    </row>
    <row r="425" spans="1:11" x14ac:dyDescent="0.25">
      <c r="A425" t="s">
        <v>779</v>
      </c>
      <c r="B425" t="s">
        <v>326</v>
      </c>
      <c r="C425" t="s">
        <v>193</v>
      </c>
      <c r="D425" t="s">
        <v>15</v>
      </c>
      <c r="E425">
        <v>4654.22</v>
      </c>
      <c r="F425">
        <v>7</v>
      </c>
      <c r="G425">
        <v>453.3</v>
      </c>
      <c r="H425">
        <v>0.05</v>
      </c>
      <c r="I425" t="str">
        <f>VLOOKUP(C425,[1]Sheet!$A:$D,3,FALSE)</f>
        <v>East</v>
      </c>
      <c r="J425" t="str">
        <f>VLOOKUP(C425,[1]Sheet!$A:$D,4,FALSE)</f>
        <v>Consumer</v>
      </c>
      <c r="K425">
        <f t="shared" si="6"/>
        <v>9.7395481949714452E-2</v>
      </c>
    </row>
    <row r="426" spans="1:11" x14ac:dyDescent="0.25">
      <c r="A426" t="s">
        <v>780</v>
      </c>
      <c r="B426" t="s">
        <v>781</v>
      </c>
      <c r="C426" t="s">
        <v>215</v>
      </c>
      <c r="D426" t="s">
        <v>15</v>
      </c>
      <c r="E426">
        <v>4556.1000000000004</v>
      </c>
      <c r="F426">
        <v>5</v>
      </c>
      <c r="G426">
        <v>1433.55</v>
      </c>
      <c r="H426">
        <v>0</v>
      </c>
      <c r="I426" t="str">
        <f>VLOOKUP(C426,[1]Sheet!$A:$D,3,FALSE)</f>
        <v>South</v>
      </c>
      <c r="J426" t="str">
        <f>VLOOKUP(C426,[1]Sheet!$A:$D,4,FALSE)</f>
        <v>Corporate</v>
      </c>
      <c r="K426">
        <f t="shared" si="6"/>
        <v>0.31464410350958055</v>
      </c>
    </row>
    <row r="427" spans="1:11" x14ac:dyDescent="0.25">
      <c r="A427" t="s">
        <v>782</v>
      </c>
      <c r="B427" t="s">
        <v>783</v>
      </c>
      <c r="C427" t="s">
        <v>271</v>
      </c>
      <c r="D427" t="s">
        <v>22</v>
      </c>
      <c r="E427">
        <v>1866.13</v>
      </c>
      <c r="F427">
        <v>3</v>
      </c>
      <c r="G427">
        <v>139.44999999999999</v>
      </c>
      <c r="H427">
        <v>0</v>
      </c>
      <c r="I427" t="str">
        <f>VLOOKUP(C427,[1]Sheet!$A:$D,3,FALSE)</f>
        <v>South</v>
      </c>
      <c r="J427" t="str">
        <f>VLOOKUP(C427,[1]Sheet!$A:$D,4,FALSE)</f>
        <v>Home Office</v>
      </c>
      <c r="K427">
        <f t="shared" si="6"/>
        <v>7.4726841109676159E-2</v>
      </c>
    </row>
    <row r="428" spans="1:11" x14ac:dyDescent="0.25">
      <c r="A428" t="s">
        <v>784</v>
      </c>
      <c r="B428" t="s">
        <v>785</v>
      </c>
      <c r="C428" t="s">
        <v>432</v>
      </c>
      <c r="D428" t="s">
        <v>11</v>
      </c>
      <c r="E428">
        <v>3165.46</v>
      </c>
      <c r="F428">
        <v>2</v>
      </c>
      <c r="G428">
        <v>847.7</v>
      </c>
      <c r="H428">
        <v>0</v>
      </c>
      <c r="I428" t="str">
        <f>VLOOKUP(C428,[1]Sheet!$A:$D,3,FALSE)</f>
        <v>East</v>
      </c>
      <c r="J428" t="str">
        <f>VLOOKUP(C428,[1]Sheet!$A:$D,4,FALSE)</f>
        <v>Consumer</v>
      </c>
      <c r="K428">
        <f t="shared" si="6"/>
        <v>0.26779678151042818</v>
      </c>
    </row>
    <row r="429" spans="1:11" x14ac:dyDescent="0.25">
      <c r="A429" t="s">
        <v>786</v>
      </c>
      <c r="B429" t="s">
        <v>787</v>
      </c>
      <c r="C429" t="s">
        <v>682</v>
      </c>
      <c r="D429" t="s">
        <v>15</v>
      </c>
      <c r="E429">
        <v>1145.76</v>
      </c>
      <c r="F429">
        <v>9</v>
      </c>
      <c r="G429">
        <v>84.08</v>
      </c>
      <c r="H429">
        <v>0.15</v>
      </c>
      <c r="I429" t="str">
        <f>VLOOKUP(C429,[1]Sheet!$A:$D,3,FALSE)</f>
        <v>North</v>
      </c>
      <c r="J429" t="str">
        <f>VLOOKUP(C429,[1]Sheet!$A:$D,4,FALSE)</f>
        <v>Consumer</v>
      </c>
      <c r="K429">
        <f t="shared" si="6"/>
        <v>7.3383605641670152E-2</v>
      </c>
    </row>
    <row r="430" spans="1:11" x14ac:dyDescent="0.25">
      <c r="A430" t="s">
        <v>788</v>
      </c>
      <c r="B430" t="s">
        <v>789</v>
      </c>
      <c r="C430" t="s">
        <v>372</v>
      </c>
      <c r="D430" t="s">
        <v>11</v>
      </c>
      <c r="E430">
        <v>139.51</v>
      </c>
      <c r="F430">
        <v>3</v>
      </c>
      <c r="G430">
        <v>21.36</v>
      </c>
      <c r="H430">
        <v>0.15</v>
      </c>
      <c r="I430" t="str">
        <f>VLOOKUP(C430,[1]Sheet!$A:$D,3,FALSE)</f>
        <v>East</v>
      </c>
      <c r="J430" t="str">
        <f>VLOOKUP(C430,[1]Sheet!$A:$D,4,FALSE)</f>
        <v>Consumer</v>
      </c>
      <c r="K430">
        <f t="shared" si="6"/>
        <v>0.15310730413590423</v>
      </c>
    </row>
    <row r="431" spans="1:11" x14ac:dyDescent="0.25">
      <c r="A431" t="s">
        <v>790</v>
      </c>
      <c r="B431" t="s">
        <v>90</v>
      </c>
      <c r="C431" t="s">
        <v>85</v>
      </c>
      <c r="D431" t="s">
        <v>15</v>
      </c>
      <c r="E431">
        <v>1221.8399999999999</v>
      </c>
      <c r="F431">
        <v>6</v>
      </c>
      <c r="G431">
        <v>93.84</v>
      </c>
      <c r="H431">
        <v>0.1</v>
      </c>
      <c r="I431" t="str">
        <f>VLOOKUP(C431,[1]Sheet!$A:$D,3,FALSE)</f>
        <v>South</v>
      </c>
      <c r="J431" t="str">
        <f>VLOOKUP(C431,[1]Sheet!$A:$D,4,FALSE)</f>
        <v>Home Office</v>
      </c>
      <c r="K431">
        <f t="shared" si="6"/>
        <v>7.6802199960714995E-2</v>
      </c>
    </row>
    <row r="432" spans="1:11" x14ac:dyDescent="0.25">
      <c r="A432" t="s">
        <v>791</v>
      </c>
      <c r="B432" t="s">
        <v>70</v>
      </c>
      <c r="C432" t="s">
        <v>71</v>
      </c>
      <c r="D432" t="s">
        <v>22</v>
      </c>
      <c r="E432">
        <v>771.93</v>
      </c>
      <c r="F432">
        <v>3</v>
      </c>
      <c r="G432">
        <v>217.71</v>
      </c>
      <c r="H432">
        <v>0</v>
      </c>
      <c r="I432" t="str">
        <f>VLOOKUP(C432,[1]Sheet!$A:$D,3,FALSE)</f>
        <v>South</v>
      </c>
      <c r="J432" t="str">
        <f>VLOOKUP(C432,[1]Sheet!$A:$D,4,FALSE)</f>
        <v>Consumer</v>
      </c>
      <c r="K432">
        <f t="shared" si="6"/>
        <v>0.28203334499242161</v>
      </c>
    </row>
    <row r="433" spans="1:11" x14ac:dyDescent="0.25">
      <c r="A433" t="s">
        <v>792</v>
      </c>
      <c r="B433" t="s">
        <v>36</v>
      </c>
      <c r="C433" t="s">
        <v>415</v>
      </c>
      <c r="D433" t="s">
        <v>11</v>
      </c>
      <c r="E433">
        <v>2860.13</v>
      </c>
      <c r="F433">
        <v>6</v>
      </c>
      <c r="G433">
        <v>666.68</v>
      </c>
      <c r="H433">
        <v>0.05</v>
      </c>
      <c r="I433" t="str">
        <f>VLOOKUP(C433,[1]Sheet!$A:$D,3,FALSE)</f>
        <v>East</v>
      </c>
      <c r="J433" t="str">
        <f>VLOOKUP(C433,[1]Sheet!$A:$D,4,FALSE)</f>
        <v>Home Office</v>
      </c>
      <c r="K433">
        <f t="shared" si="6"/>
        <v>0.23309429990944464</v>
      </c>
    </row>
    <row r="434" spans="1:11" x14ac:dyDescent="0.25">
      <c r="A434" t="s">
        <v>793</v>
      </c>
      <c r="B434" t="s">
        <v>794</v>
      </c>
      <c r="C434" t="s">
        <v>10</v>
      </c>
      <c r="D434" t="s">
        <v>22</v>
      </c>
      <c r="E434">
        <v>3766.52</v>
      </c>
      <c r="F434">
        <v>8</v>
      </c>
      <c r="G434">
        <v>1227.77</v>
      </c>
      <c r="H434">
        <v>0.05</v>
      </c>
      <c r="I434" t="str">
        <f>VLOOKUP(C434,[1]Sheet!$A:$D,3,FALSE)</f>
        <v>North</v>
      </c>
      <c r="J434" t="str">
        <f>VLOOKUP(C434,[1]Sheet!$A:$D,4,FALSE)</f>
        <v>Consumer</v>
      </c>
      <c r="K434">
        <f t="shared" si="6"/>
        <v>0.32596932977921261</v>
      </c>
    </row>
    <row r="435" spans="1:11" x14ac:dyDescent="0.25">
      <c r="A435" t="s">
        <v>795</v>
      </c>
      <c r="B435" t="s">
        <v>796</v>
      </c>
      <c r="C435" t="s">
        <v>34</v>
      </c>
      <c r="D435" t="s">
        <v>22</v>
      </c>
      <c r="E435">
        <v>4493.3100000000004</v>
      </c>
      <c r="F435">
        <v>7</v>
      </c>
      <c r="G435">
        <v>413.4</v>
      </c>
      <c r="H435">
        <v>0.1</v>
      </c>
      <c r="I435" t="str">
        <f>VLOOKUP(C435,[1]Sheet!$A:$D,3,FALSE)</f>
        <v>West</v>
      </c>
      <c r="J435" t="str">
        <f>VLOOKUP(C435,[1]Sheet!$A:$D,4,FALSE)</f>
        <v>Home Office</v>
      </c>
      <c r="K435">
        <f t="shared" si="6"/>
        <v>9.2003445121747657E-2</v>
      </c>
    </row>
    <row r="436" spans="1:11" x14ac:dyDescent="0.25">
      <c r="A436" t="s">
        <v>797</v>
      </c>
      <c r="B436" t="s">
        <v>798</v>
      </c>
      <c r="C436" t="s">
        <v>390</v>
      </c>
      <c r="D436" t="s">
        <v>22</v>
      </c>
      <c r="E436">
        <v>1641.07</v>
      </c>
      <c r="F436">
        <v>2</v>
      </c>
      <c r="G436">
        <v>150.88999999999999</v>
      </c>
      <c r="H436">
        <v>0.05</v>
      </c>
      <c r="I436" t="str">
        <f>VLOOKUP(C436,[1]Sheet!$A:$D,3,FALSE)</f>
        <v>West</v>
      </c>
      <c r="J436" t="str">
        <f>VLOOKUP(C436,[1]Sheet!$A:$D,4,FALSE)</f>
        <v>Corporate</v>
      </c>
      <c r="K436">
        <f t="shared" si="6"/>
        <v>9.1946108331759147E-2</v>
      </c>
    </row>
    <row r="437" spans="1:11" x14ac:dyDescent="0.25">
      <c r="A437" t="s">
        <v>799</v>
      </c>
      <c r="B437" t="s">
        <v>455</v>
      </c>
      <c r="C437" t="s">
        <v>221</v>
      </c>
      <c r="D437" t="s">
        <v>22</v>
      </c>
      <c r="E437">
        <v>3044.9</v>
      </c>
      <c r="F437">
        <v>1</v>
      </c>
      <c r="G437">
        <v>811.02</v>
      </c>
      <c r="H437">
        <v>0.1</v>
      </c>
      <c r="I437" t="str">
        <f>VLOOKUP(C437,[1]Sheet!$A:$D,3,FALSE)</f>
        <v>South</v>
      </c>
      <c r="J437" t="str">
        <f>VLOOKUP(C437,[1]Sheet!$A:$D,4,FALSE)</f>
        <v>Corporate</v>
      </c>
      <c r="K437">
        <f t="shared" si="6"/>
        <v>0.26635357483004368</v>
      </c>
    </row>
    <row r="438" spans="1:11" x14ac:dyDescent="0.25">
      <c r="A438" t="s">
        <v>800</v>
      </c>
      <c r="B438" t="s">
        <v>746</v>
      </c>
      <c r="C438" t="s">
        <v>418</v>
      </c>
      <c r="D438" t="s">
        <v>11</v>
      </c>
      <c r="E438">
        <v>2636.97</v>
      </c>
      <c r="F438">
        <v>1</v>
      </c>
      <c r="G438">
        <v>534.92999999999995</v>
      </c>
      <c r="H438">
        <v>0.05</v>
      </c>
      <c r="I438" t="str">
        <f>VLOOKUP(C438,[1]Sheet!$A:$D,3,FALSE)</f>
        <v>South</v>
      </c>
      <c r="J438" t="str">
        <f>VLOOKUP(C438,[1]Sheet!$A:$D,4,FALSE)</f>
        <v>Home Office</v>
      </c>
      <c r="K438">
        <f t="shared" si="6"/>
        <v>0.20285782545876516</v>
      </c>
    </row>
    <row r="439" spans="1:11" x14ac:dyDescent="0.25">
      <c r="A439" t="s">
        <v>801</v>
      </c>
      <c r="B439" t="s">
        <v>150</v>
      </c>
      <c r="C439" t="s">
        <v>492</v>
      </c>
      <c r="D439" t="s">
        <v>22</v>
      </c>
      <c r="E439">
        <v>1990.84</v>
      </c>
      <c r="F439">
        <v>2</v>
      </c>
      <c r="G439">
        <v>243.53</v>
      </c>
      <c r="H439">
        <v>0.2</v>
      </c>
      <c r="I439" t="str">
        <f>VLOOKUP(C439,[1]Sheet!$A:$D,3,FALSE)</f>
        <v>West</v>
      </c>
      <c r="J439" t="str">
        <f>VLOOKUP(C439,[1]Sheet!$A:$D,4,FALSE)</f>
        <v>Home Office</v>
      </c>
      <c r="K439">
        <f t="shared" si="6"/>
        <v>0.12232524964336662</v>
      </c>
    </row>
    <row r="440" spans="1:11" x14ac:dyDescent="0.25">
      <c r="A440" t="s">
        <v>802</v>
      </c>
      <c r="B440" t="s">
        <v>281</v>
      </c>
      <c r="C440" t="s">
        <v>372</v>
      </c>
      <c r="D440" t="s">
        <v>11</v>
      </c>
      <c r="E440">
        <v>4935.72</v>
      </c>
      <c r="F440">
        <v>10</v>
      </c>
      <c r="G440">
        <v>1629.66</v>
      </c>
      <c r="H440">
        <v>0.15</v>
      </c>
      <c r="I440" t="str">
        <f>VLOOKUP(C440,[1]Sheet!$A:$D,3,FALSE)</f>
        <v>East</v>
      </c>
      <c r="J440" t="str">
        <f>VLOOKUP(C440,[1]Sheet!$A:$D,4,FALSE)</f>
        <v>Consumer</v>
      </c>
      <c r="K440">
        <f t="shared" si="6"/>
        <v>0.33017675232792781</v>
      </c>
    </row>
    <row r="441" spans="1:11" x14ac:dyDescent="0.25">
      <c r="A441" t="s">
        <v>803</v>
      </c>
      <c r="B441" t="s">
        <v>804</v>
      </c>
      <c r="C441" t="s">
        <v>116</v>
      </c>
      <c r="D441" t="s">
        <v>15</v>
      </c>
      <c r="E441">
        <v>2777.15</v>
      </c>
      <c r="F441">
        <v>1</v>
      </c>
      <c r="G441">
        <v>282.8</v>
      </c>
      <c r="H441">
        <v>0.2</v>
      </c>
      <c r="I441" t="str">
        <f>VLOOKUP(C441,[1]Sheet!$A:$D,3,FALSE)</f>
        <v>South</v>
      </c>
      <c r="J441" t="str">
        <f>VLOOKUP(C441,[1]Sheet!$A:$D,4,FALSE)</f>
        <v>Home Office</v>
      </c>
      <c r="K441">
        <f t="shared" si="6"/>
        <v>0.10183101380912087</v>
      </c>
    </row>
    <row r="442" spans="1:11" x14ac:dyDescent="0.25">
      <c r="A442" t="s">
        <v>805</v>
      </c>
      <c r="B442" t="s">
        <v>806</v>
      </c>
      <c r="C442" t="s">
        <v>311</v>
      </c>
      <c r="D442" t="s">
        <v>11</v>
      </c>
      <c r="E442">
        <v>167.59</v>
      </c>
      <c r="F442">
        <v>9</v>
      </c>
      <c r="G442">
        <v>19.23</v>
      </c>
      <c r="H442">
        <v>0.1</v>
      </c>
      <c r="I442" t="str">
        <f>VLOOKUP(C442,[1]Sheet!$A:$D,3,FALSE)</f>
        <v>North</v>
      </c>
      <c r="J442" t="str">
        <f>VLOOKUP(C442,[1]Sheet!$A:$D,4,FALSE)</f>
        <v>Home Office</v>
      </c>
      <c r="K442">
        <f t="shared" si="6"/>
        <v>0.11474431648666389</v>
      </c>
    </row>
    <row r="443" spans="1:11" x14ac:dyDescent="0.25">
      <c r="A443" t="s">
        <v>807</v>
      </c>
      <c r="B443" t="s">
        <v>395</v>
      </c>
      <c r="C443" t="s">
        <v>10</v>
      </c>
      <c r="D443" t="s">
        <v>22</v>
      </c>
      <c r="E443">
        <v>3591.88</v>
      </c>
      <c r="F443">
        <v>7</v>
      </c>
      <c r="G443">
        <v>1006.2</v>
      </c>
      <c r="H443">
        <v>0</v>
      </c>
      <c r="I443" t="str">
        <f>VLOOKUP(C443,[1]Sheet!$A:$D,3,FALSE)</f>
        <v>North</v>
      </c>
      <c r="J443" t="str">
        <f>VLOOKUP(C443,[1]Sheet!$A:$D,4,FALSE)</f>
        <v>Consumer</v>
      </c>
      <c r="K443">
        <f t="shared" si="6"/>
        <v>0.28013185295722576</v>
      </c>
    </row>
    <row r="444" spans="1:11" x14ac:dyDescent="0.25">
      <c r="A444" t="s">
        <v>808</v>
      </c>
      <c r="B444" t="s">
        <v>27</v>
      </c>
      <c r="C444" t="s">
        <v>79</v>
      </c>
      <c r="D444" t="s">
        <v>15</v>
      </c>
      <c r="E444">
        <v>2729.17</v>
      </c>
      <c r="F444">
        <v>5</v>
      </c>
      <c r="G444">
        <v>640.85</v>
      </c>
      <c r="H444">
        <v>0</v>
      </c>
      <c r="I444" t="str">
        <f>VLOOKUP(C444,[1]Sheet!$A:$D,3,FALSE)</f>
        <v>East</v>
      </c>
      <c r="J444" t="str">
        <f>VLOOKUP(C444,[1]Sheet!$A:$D,4,FALSE)</f>
        <v>Corporate</v>
      </c>
      <c r="K444">
        <f t="shared" si="6"/>
        <v>0.23481498037864992</v>
      </c>
    </row>
    <row r="445" spans="1:11" x14ac:dyDescent="0.25">
      <c r="A445" t="s">
        <v>809</v>
      </c>
      <c r="B445" t="s">
        <v>810</v>
      </c>
      <c r="C445" t="s">
        <v>132</v>
      </c>
      <c r="D445" t="s">
        <v>22</v>
      </c>
      <c r="E445">
        <v>4612.53</v>
      </c>
      <c r="F445">
        <v>6</v>
      </c>
      <c r="G445">
        <v>1578.84</v>
      </c>
      <c r="H445">
        <v>0.15</v>
      </c>
      <c r="I445" t="str">
        <f>VLOOKUP(C445,[1]Sheet!$A:$D,3,FALSE)</f>
        <v>North</v>
      </c>
      <c r="J445" t="str">
        <f>VLOOKUP(C445,[1]Sheet!$A:$D,4,FALSE)</f>
        <v>Home Office</v>
      </c>
      <c r="K445">
        <f t="shared" si="6"/>
        <v>0.34229370865880548</v>
      </c>
    </row>
    <row r="446" spans="1:11" x14ac:dyDescent="0.25">
      <c r="A446" t="s">
        <v>811</v>
      </c>
      <c r="B446" t="s">
        <v>593</v>
      </c>
      <c r="C446" t="s">
        <v>359</v>
      </c>
      <c r="D446" t="s">
        <v>22</v>
      </c>
      <c r="E446">
        <v>3208.04</v>
      </c>
      <c r="F446">
        <v>2</v>
      </c>
      <c r="G446">
        <v>963.56</v>
      </c>
      <c r="H446">
        <v>0.1</v>
      </c>
      <c r="I446" t="str">
        <f>VLOOKUP(C446,[1]Sheet!$A:$D,3,FALSE)</f>
        <v>East</v>
      </c>
      <c r="J446" t="str">
        <f>VLOOKUP(C446,[1]Sheet!$A:$D,4,FALSE)</f>
        <v>Home Office</v>
      </c>
      <c r="K446">
        <f t="shared" si="6"/>
        <v>0.3003578508996147</v>
      </c>
    </row>
    <row r="447" spans="1:11" x14ac:dyDescent="0.25">
      <c r="A447" t="s">
        <v>812</v>
      </c>
      <c r="B447" t="s">
        <v>56</v>
      </c>
      <c r="C447" t="s">
        <v>122</v>
      </c>
      <c r="D447" t="s">
        <v>15</v>
      </c>
      <c r="E447">
        <v>2243.6799999999998</v>
      </c>
      <c r="F447">
        <v>4</v>
      </c>
      <c r="G447">
        <v>753.94</v>
      </c>
      <c r="H447">
        <v>0</v>
      </c>
      <c r="I447" t="str">
        <f>VLOOKUP(C447,[1]Sheet!$A:$D,3,FALSE)</f>
        <v>West</v>
      </c>
      <c r="J447" t="str">
        <f>VLOOKUP(C447,[1]Sheet!$A:$D,4,FALSE)</f>
        <v>Consumer</v>
      </c>
      <c r="K447">
        <f t="shared" si="6"/>
        <v>0.3360283106325323</v>
      </c>
    </row>
    <row r="448" spans="1:11" x14ac:dyDescent="0.25">
      <c r="A448" t="s">
        <v>813</v>
      </c>
      <c r="B448" t="s">
        <v>545</v>
      </c>
      <c r="C448" t="s">
        <v>127</v>
      </c>
      <c r="D448" t="s">
        <v>11</v>
      </c>
      <c r="E448">
        <v>668.33</v>
      </c>
      <c r="F448">
        <v>3</v>
      </c>
      <c r="G448">
        <v>156.18</v>
      </c>
      <c r="H448">
        <v>0</v>
      </c>
      <c r="I448" t="str">
        <f>VLOOKUP(C448,[1]Sheet!$A:$D,3,FALSE)</f>
        <v>South</v>
      </c>
      <c r="J448" t="str">
        <f>VLOOKUP(C448,[1]Sheet!$A:$D,4,FALSE)</f>
        <v>Consumer</v>
      </c>
      <c r="K448">
        <f t="shared" si="6"/>
        <v>0.23368695105711251</v>
      </c>
    </row>
    <row r="449" spans="1:11" x14ac:dyDescent="0.25">
      <c r="A449" t="s">
        <v>814</v>
      </c>
      <c r="B449" t="s">
        <v>815</v>
      </c>
      <c r="C449" t="s">
        <v>372</v>
      </c>
      <c r="D449" t="s">
        <v>11</v>
      </c>
      <c r="E449">
        <v>3568.71</v>
      </c>
      <c r="F449">
        <v>6</v>
      </c>
      <c r="G449">
        <v>929.47</v>
      </c>
      <c r="H449">
        <v>0.2</v>
      </c>
      <c r="I449" t="str">
        <f>VLOOKUP(C449,[1]Sheet!$A:$D,3,FALSE)</f>
        <v>East</v>
      </c>
      <c r="J449" t="str">
        <f>VLOOKUP(C449,[1]Sheet!$A:$D,4,FALSE)</f>
        <v>Consumer</v>
      </c>
      <c r="K449">
        <f t="shared" si="6"/>
        <v>0.2604498544291915</v>
      </c>
    </row>
    <row r="450" spans="1:11" x14ac:dyDescent="0.25">
      <c r="A450" t="s">
        <v>816</v>
      </c>
      <c r="B450" t="s">
        <v>33</v>
      </c>
      <c r="C450" t="s">
        <v>212</v>
      </c>
      <c r="D450" t="s">
        <v>11</v>
      </c>
      <c r="E450">
        <v>3936.64</v>
      </c>
      <c r="F450">
        <v>3</v>
      </c>
      <c r="G450">
        <v>1048.05</v>
      </c>
      <c r="H450">
        <v>0.1</v>
      </c>
      <c r="I450" t="str">
        <f>VLOOKUP(C450,[1]Sheet!$A:$D,3,FALSE)</f>
        <v>North</v>
      </c>
      <c r="J450" t="str">
        <f>VLOOKUP(C450,[1]Sheet!$A:$D,4,FALSE)</f>
        <v>Home Office</v>
      </c>
      <c r="K450">
        <f t="shared" si="6"/>
        <v>0.26622957649162737</v>
      </c>
    </row>
    <row r="451" spans="1:11" x14ac:dyDescent="0.25">
      <c r="A451" t="s">
        <v>817</v>
      </c>
      <c r="B451" t="s">
        <v>522</v>
      </c>
      <c r="C451" t="s">
        <v>110</v>
      </c>
      <c r="D451" t="s">
        <v>11</v>
      </c>
      <c r="E451">
        <v>4443.43</v>
      </c>
      <c r="F451">
        <v>7</v>
      </c>
      <c r="G451">
        <v>1250.51</v>
      </c>
      <c r="H451">
        <v>0.1</v>
      </c>
      <c r="I451" t="str">
        <f>VLOOKUP(C451,[1]Sheet!$A:$D,3,FALSE)</f>
        <v>West</v>
      </c>
      <c r="J451" t="str">
        <f>VLOOKUP(C451,[1]Sheet!$A:$D,4,FALSE)</f>
        <v>Consumer</v>
      </c>
      <c r="K451">
        <f t="shared" ref="K451:K514" si="7">G451/E451</f>
        <v>0.28142898616609241</v>
      </c>
    </row>
    <row r="452" spans="1:11" x14ac:dyDescent="0.25">
      <c r="A452" t="s">
        <v>818</v>
      </c>
      <c r="B452" t="s">
        <v>552</v>
      </c>
      <c r="C452" t="s">
        <v>415</v>
      </c>
      <c r="D452" t="s">
        <v>22</v>
      </c>
      <c r="E452">
        <v>412.97</v>
      </c>
      <c r="F452">
        <v>2</v>
      </c>
      <c r="G452">
        <v>108.9</v>
      </c>
      <c r="H452">
        <v>0.15</v>
      </c>
      <c r="I452" t="str">
        <f>VLOOKUP(C452,[1]Sheet!$A:$D,3,FALSE)</f>
        <v>East</v>
      </c>
      <c r="J452" t="str">
        <f>VLOOKUP(C452,[1]Sheet!$A:$D,4,FALSE)</f>
        <v>Home Office</v>
      </c>
      <c r="K452">
        <f t="shared" si="7"/>
        <v>0.26369954233963727</v>
      </c>
    </row>
    <row r="453" spans="1:11" x14ac:dyDescent="0.25">
      <c r="A453" t="s">
        <v>819</v>
      </c>
      <c r="B453" t="s">
        <v>408</v>
      </c>
      <c r="C453" t="s">
        <v>102</v>
      </c>
      <c r="D453" t="s">
        <v>15</v>
      </c>
      <c r="E453">
        <v>2602.83</v>
      </c>
      <c r="F453">
        <v>6</v>
      </c>
      <c r="G453">
        <v>173.43</v>
      </c>
      <c r="H453">
        <v>0.05</v>
      </c>
      <c r="I453" t="str">
        <f>VLOOKUP(C453,[1]Sheet!$A:$D,3,FALSE)</f>
        <v>South</v>
      </c>
      <c r="J453" t="str">
        <f>VLOOKUP(C453,[1]Sheet!$A:$D,4,FALSE)</f>
        <v>Home Office</v>
      </c>
      <c r="K453">
        <f t="shared" si="7"/>
        <v>6.6631320524198664E-2</v>
      </c>
    </row>
    <row r="454" spans="1:11" x14ac:dyDescent="0.25">
      <c r="A454" t="s">
        <v>820</v>
      </c>
      <c r="B454" t="s">
        <v>266</v>
      </c>
      <c r="C454" t="s">
        <v>267</v>
      </c>
      <c r="D454" t="s">
        <v>22</v>
      </c>
      <c r="E454">
        <v>3889.31</v>
      </c>
      <c r="F454">
        <v>2</v>
      </c>
      <c r="G454">
        <v>1237.8900000000001</v>
      </c>
      <c r="H454">
        <v>0.05</v>
      </c>
      <c r="I454" t="str">
        <f>VLOOKUP(C454,[1]Sheet!$A:$D,3,FALSE)</f>
        <v>East</v>
      </c>
      <c r="J454" t="str">
        <f>VLOOKUP(C454,[1]Sheet!$A:$D,4,FALSE)</f>
        <v>Consumer</v>
      </c>
      <c r="K454">
        <f t="shared" si="7"/>
        <v>0.31828010623992431</v>
      </c>
    </row>
    <row r="455" spans="1:11" x14ac:dyDescent="0.25">
      <c r="A455" t="s">
        <v>821</v>
      </c>
      <c r="B455" t="s">
        <v>822</v>
      </c>
      <c r="C455" t="s">
        <v>424</v>
      </c>
      <c r="D455" t="s">
        <v>15</v>
      </c>
      <c r="E455">
        <v>2593.2399999999998</v>
      </c>
      <c r="F455">
        <v>1</v>
      </c>
      <c r="G455">
        <v>163.92</v>
      </c>
      <c r="H455">
        <v>0.15</v>
      </c>
      <c r="I455" t="str">
        <f>VLOOKUP(C455,[1]Sheet!$A:$D,3,FALSE)</f>
        <v>South</v>
      </c>
      <c r="J455" t="str">
        <f>VLOOKUP(C455,[1]Sheet!$A:$D,4,FALSE)</f>
        <v>Consumer</v>
      </c>
      <c r="K455">
        <f t="shared" si="7"/>
        <v>6.3210501149141618E-2</v>
      </c>
    </row>
    <row r="456" spans="1:11" x14ac:dyDescent="0.25">
      <c r="A456" t="s">
        <v>823</v>
      </c>
      <c r="B456" t="s">
        <v>608</v>
      </c>
      <c r="C456" t="s">
        <v>116</v>
      </c>
      <c r="D456" t="s">
        <v>22</v>
      </c>
      <c r="E456">
        <v>1976.6</v>
      </c>
      <c r="F456">
        <v>7</v>
      </c>
      <c r="G456">
        <v>187.83</v>
      </c>
      <c r="H456">
        <v>0.05</v>
      </c>
      <c r="I456" t="str">
        <f>VLOOKUP(C456,[1]Sheet!$A:$D,3,FALSE)</f>
        <v>South</v>
      </c>
      <c r="J456" t="str">
        <f>VLOOKUP(C456,[1]Sheet!$A:$D,4,FALSE)</f>
        <v>Home Office</v>
      </c>
      <c r="K456">
        <f t="shared" si="7"/>
        <v>9.502681372053022E-2</v>
      </c>
    </row>
    <row r="457" spans="1:11" x14ac:dyDescent="0.25">
      <c r="A457" t="s">
        <v>824</v>
      </c>
      <c r="B457" t="s">
        <v>559</v>
      </c>
      <c r="C457" t="s">
        <v>428</v>
      </c>
      <c r="D457" t="s">
        <v>11</v>
      </c>
      <c r="E457">
        <v>1316.49</v>
      </c>
      <c r="F457">
        <v>2</v>
      </c>
      <c r="G457">
        <v>427.54</v>
      </c>
      <c r="H457">
        <v>0.2</v>
      </c>
      <c r="I457" t="str">
        <f>VLOOKUP(C457,[1]Sheet!$A:$D,3,FALSE)</f>
        <v>South</v>
      </c>
      <c r="J457" t="str">
        <f>VLOOKUP(C457,[1]Sheet!$A:$D,4,FALSE)</f>
        <v>Home Office</v>
      </c>
      <c r="K457">
        <f t="shared" si="7"/>
        <v>0.3247574991074752</v>
      </c>
    </row>
    <row r="458" spans="1:11" x14ac:dyDescent="0.25">
      <c r="A458" t="s">
        <v>825</v>
      </c>
      <c r="B458" t="s">
        <v>826</v>
      </c>
      <c r="C458" t="s">
        <v>348</v>
      </c>
      <c r="D458" t="s">
        <v>15</v>
      </c>
      <c r="E458">
        <v>685.06</v>
      </c>
      <c r="F458">
        <v>4</v>
      </c>
      <c r="G458">
        <v>172.63</v>
      </c>
      <c r="H458">
        <v>0.2</v>
      </c>
      <c r="I458" t="str">
        <f>VLOOKUP(C458,[1]Sheet!$A:$D,3,FALSE)</f>
        <v>East</v>
      </c>
      <c r="J458" t="str">
        <f>VLOOKUP(C458,[1]Sheet!$A:$D,4,FALSE)</f>
        <v>Consumer</v>
      </c>
      <c r="K458">
        <f t="shared" si="7"/>
        <v>0.25199252620208451</v>
      </c>
    </row>
    <row r="459" spans="1:11" x14ac:dyDescent="0.25">
      <c r="A459" t="s">
        <v>827</v>
      </c>
      <c r="B459" t="s">
        <v>828</v>
      </c>
      <c r="C459" t="s">
        <v>54</v>
      </c>
      <c r="D459" t="s">
        <v>11</v>
      </c>
      <c r="E459">
        <v>4774.99</v>
      </c>
      <c r="F459">
        <v>5</v>
      </c>
      <c r="G459">
        <v>337.49</v>
      </c>
      <c r="H459">
        <v>0.1</v>
      </c>
      <c r="I459" t="str">
        <f>VLOOKUP(C459,[1]Sheet!$A:$D,3,FALSE)</f>
        <v>West</v>
      </c>
      <c r="J459" t="str">
        <f>VLOOKUP(C459,[1]Sheet!$A:$D,4,FALSE)</f>
        <v>Consumer</v>
      </c>
      <c r="K459">
        <f t="shared" si="7"/>
        <v>7.0678682049595917E-2</v>
      </c>
    </row>
    <row r="460" spans="1:11" x14ac:dyDescent="0.25">
      <c r="A460" t="s">
        <v>829</v>
      </c>
      <c r="B460" t="s">
        <v>532</v>
      </c>
      <c r="C460" t="s">
        <v>34</v>
      </c>
      <c r="D460" t="s">
        <v>11</v>
      </c>
      <c r="E460">
        <v>2810.15</v>
      </c>
      <c r="F460">
        <v>10</v>
      </c>
      <c r="G460">
        <v>147.22999999999999</v>
      </c>
      <c r="H460">
        <v>0.1</v>
      </c>
      <c r="I460" t="str">
        <f>VLOOKUP(C460,[1]Sheet!$A:$D,3,FALSE)</f>
        <v>West</v>
      </c>
      <c r="J460" t="str">
        <f>VLOOKUP(C460,[1]Sheet!$A:$D,4,FALSE)</f>
        <v>Home Office</v>
      </c>
      <c r="K460">
        <f t="shared" si="7"/>
        <v>5.2392221055815522E-2</v>
      </c>
    </row>
    <row r="461" spans="1:11" x14ac:dyDescent="0.25">
      <c r="A461" t="s">
        <v>830</v>
      </c>
      <c r="B461" t="s">
        <v>650</v>
      </c>
      <c r="C461" t="s">
        <v>424</v>
      </c>
      <c r="D461" t="s">
        <v>11</v>
      </c>
      <c r="E461">
        <v>3151.32</v>
      </c>
      <c r="F461">
        <v>4</v>
      </c>
      <c r="G461">
        <v>596.16</v>
      </c>
      <c r="H461">
        <v>0.2</v>
      </c>
      <c r="I461" t="str">
        <f>VLOOKUP(C461,[1]Sheet!$A:$D,3,FALSE)</f>
        <v>South</v>
      </c>
      <c r="J461" t="str">
        <f>VLOOKUP(C461,[1]Sheet!$A:$D,4,FALSE)</f>
        <v>Consumer</v>
      </c>
      <c r="K461">
        <f t="shared" si="7"/>
        <v>0.18917786832184608</v>
      </c>
    </row>
    <row r="462" spans="1:11" x14ac:dyDescent="0.25">
      <c r="A462" t="s">
        <v>831</v>
      </c>
      <c r="B462" t="s">
        <v>832</v>
      </c>
      <c r="C462" t="s">
        <v>227</v>
      </c>
      <c r="D462" t="s">
        <v>15</v>
      </c>
      <c r="E462">
        <v>4000.27</v>
      </c>
      <c r="F462">
        <v>4</v>
      </c>
      <c r="G462">
        <v>380.71</v>
      </c>
      <c r="H462">
        <v>0.2</v>
      </c>
      <c r="I462" t="str">
        <f>VLOOKUP(C462,[1]Sheet!$A:$D,3,FALSE)</f>
        <v>South</v>
      </c>
      <c r="J462" t="str">
        <f>VLOOKUP(C462,[1]Sheet!$A:$D,4,FALSE)</f>
        <v>Home Office</v>
      </c>
      <c r="K462">
        <f t="shared" si="7"/>
        <v>9.5171075952373216E-2</v>
      </c>
    </row>
    <row r="463" spans="1:11" x14ac:dyDescent="0.25">
      <c r="A463" t="s">
        <v>833</v>
      </c>
      <c r="B463" t="s">
        <v>834</v>
      </c>
      <c r="C463" t="s">
        <v>65</v>
      </c>
      <c r="D463" t="s">
        <v>11</v>
      </c>
      <c r="E463">
        <v>3216.12</v>
      </c>
      <c r="F463">
        <v>1</v>
      </c>
      <c r="G463">
        <v>829.88</v>
      </c>
      <c r="H463">
        <v>0.15</v>
      </c>
      <c r="I463" t="str">
        <f>VLOOKUP(C463,[1]Sheet!$A:$D,3,FALSE)</f>
        <v>East</v>
      </c>
      <c r="J463" t="str">
        <f>VLOOKUP(C463,[1]Sheet!$A:$D,4,FALSE)</f>
        <v>Corporate</v>
      </c>
      <c r="K463">
        <f t="shared" si="7"/>
        <v>0.25803763541161401</v>
      </c>
    </row>
    <row r="464" spans="1:11" x14ac:dyDescent="0.25">
      <c r="A464" t="s">
        <v>835</v>
      </c>
      <c r="B464" t="s">
        <v>656</v>
      </c>
      <c r="C464" t="s">
        <v>424</v>
      </c>
      <c r="D464" t="s">
        <v>15</v>
      </c>
      <c r="E464">
        <v>3663.35</v>
      </c>
      <c r="F464">
        <v>7</v>
      </c>
      <c r="G464">
        <v>297.41000000000003</v>
      </c>
      <c r="H464">
        <v>0.15</v>
      </c>
      <c r="I464" t="str">
        <f>VLOOKUP(C464,[1]Sheet!$A:$D,3,FALSE)</f>
        <v>South</v>
      </c>
      <c r="J464" t="str">
        <f>VLOOKUP(C464,[1]Sheet!$A:$D,4,FALSE)</f>
        <v>Consumer</v>
      </c>
      <c r="K464">
        <f t="shared" si="7"/>
        <v>8.1185253934240531E-2</v>
      </c>
    </row>
    <row r="465" spans="1:11" x14ac:dyDescent="0.25">
      <c r="A465" t="s">
        <v>836</v>
      </c>
      <c r="B465" t="s">
        <v>692</v>
      </c>
      <c r="C465" t="s">
        <v>25</v>
      </c>
      <c r="D465" t="s">
        <v>15</v>
      </c>
      <c r="E465">
        <v>4865.54</v>
      </c>
      <c r="F465">
        <v>1</v>
      </c>
      <c r="G465">
        <v>451.09</v>
      </c>
      <c r="H465">
        <v>0.05</v>
      </c>
      <c r="I465" t="str">
        <f>VLOOKUP(C465,[1]Sheet!$A:$D,3,FALSE)</f>
        <v>South</v>
      </c>
      <c r="J465" t="str">
        <f>VLOOKUP(C465,[1]Sheet!$A:$D,4,FALSE)</f>
        <v>Consumer</v>
      </c>
      <c r="K465">
        <f t="shared" si="7"/>
        <v>9.271118930272898E-2</v>
      </c>
    </row>
    <row r="466" spans="1:11" x14ac:dyDescent="0.25">
      <c r="A466" t="s">
        <v>837</v>
      </c>
      <c r="B466" t="s">
        <v>506</v>
      </c>
      <c r="C466" t="s">
        <v>212</v>
      </c>
      <c r="D466" t="s">
        <v>22</v>
      </c>
      <c r="E466">
        <v>2123.98</v>
      </c>
      <c r="F466">
        <v>2</v>
      </c>
      <c r="G466">
        <v>676.86</v>
      </c>
      <c r="H466">
        <v>0.2</v>
      </c>
      <c r="I466" t="str">
        <f>VLOOKUP(C466,[1]Sheet!$A:$D,3,FALSE)</f>
        <v>North</v>
      </c>
      <c r="J466" t="str">
        <f>VLOOKUP(C466,[1]Sheet!$A:$D,4,FALSE)</f>
        <v>Home Office</v>
      </c>
      <c r="K466">
        <f t="shared" si="7"/>
        <v>0.31867531709338132</v>
      </c>
    </row>
    <row r="467" spans="1:11" x14ac:dyDescent="0.25">
      <c r="A467" t="s">
        <v>838</v>
      </c>
      <c r="B467" t="s">
        <v>721</v>
      </c>
      <c r="C467" t="s">
        <v>313</v>
      </c>
      <c r="D467" t="s">
        <v>15</v>
      </c>
      <c r="E467">
        <v>2576.6</v>
      </c>
      <c r="F467">
        <v>10</v>
      </c>
      <c r="G467">
        <v>621.38</v>
      </c>
      <c r="H467">
        <v>0.2</v>
      </c>
      <c r="I467" t="str">
        <f>VLOOKUP(C467,[1]Sheet!$A:$D,3,FALSE)</f>
        <v>East</v>
      </c>
      <c r="J467" t="str">
        <f>VLOOKUP(C467,[1]Sheet!$A:$D,4,FALSE)</f>
        <v>Consumer</v>
      </c>
      <c r="K467">
        <f t="shared" si="7"/>
        <v>0.24116277264612279</v>
      </c>
    </row>
    <row r="468" spans="1:11" x14ac:dyDescent="0.25">
      <c r="A468" t="s">
        <v>839</v>
      </c>
      <c r="B468" t="s">
        <v>93</v>
      </c>
      <c r="C468" t="s">
        <v>25</v>
      </c>
      <c r="D468" t="s">
        <v>11</v>
      </c>
      <c r="E468">
        <v>2231.42</v>
      </c>
      <c r="F468">
        <v>5</v>
      </c>
      <c r="G468">
        <v>757.04</v>
      </c>
      <c r="H468">
        <v>0.1</v>
      </c>
      <c r="I468" t="str">
        <f>VLOOKUP(C468,[1]Sheet!$A:$D,3,FALSE)</f>
        <v>South</v>
      </c>
      <c r="J468" t="str">
        <f>VLOOKUP(C468,[1]Sheet!$A:$D,4,FALSE)</f>
        <v>Consumer</v>
      </c>
      <c r="K468">
        <f t="shared" si="7"/>
        <v>0.3392637871848419</v>
      </c>
    </row>
    <row r="469" spans="1:11" x14ac:dyDescent="0.25">
      <c r="A469" t="s">
        <v>840</v>
      </c>
      <c r="B469" t="s">
        <v>297</v>
      </c>
      <c r="C469" t="s">
        <v>432</v>
      </c>
      <c r="D469" t="s">
        <v>11</v>
      </c>
      <c r="E469">
        <v>3533.56</v>
      </c>
      <c r="F469">
        <v>5</v>
      </c>
      <c r="G469">
        <v>956.2</v>
      </c>
      <c r="H469">
        <v>0.05</v>
      </c>
      <c r="I469" t="str">
        <f>VLOOKUP(C469,[1]Sheet!$A:$D,3,FALSE)</f>
        <v>East</v>
      </c>
      <c r="J469" t="str">
        <f>VLOOKUP(C469,[1]Sheet!$A:$D,4,FALSE)</f>
        <v>Consumer</v>
      </c>
      <c r="K469">
        <f t="shared" si="7"/>
        <v>0.27060528192531047</v>
      </c>
    </row>
    <row r="470" spans="1:11" x14ac:dyDescent="0.25">
      <c r="A470" t="s">
        <v>841</v>
      </c>
      <c r="B470" t="s">
        <v>159</v>
      </c>
      <c r="C470" t="s">
        <v>85</v>
      </c>
      <c r="D470" t="s">
        <v>15</v>
      </c>
      <c r="E470">
        <v>4723.42</v>
      </c>
      <c r="F470">
        <v>3</v>
      </c>
      <c r="G470">
        <v>429.05</v>
      </c>
      <c r="H470">
        <v>0</v>
      </c>
      <c r="I470" t="str">
        <f>VLOOKUP(C470,[1]Sheet!$A:$D,3,FALSE)</f>
        <v>South</v>
      </c>
      <c r="J470" t="str">
        <f>VLOOKUP(C470,[1]Sheet!$A:$D,4,FALSE)</f>
        <v>Home Office</v>
      </c>
      <c r="K470">
        <f t="shared" si="7"/>
        <v>9.0834607127886158E-2</v>
      </c>
    </row>
    <row r="471" spans="1:11" x14ac:dyDescent="0.25">
      <c r="A471" t="s">
        <v>842</v>
      </c>
      <c r="B471" t="s">
        <v>789</v>
      </c>
      <c r="C471" t="s">
        <v>187</v>
      </c>
      <c r="D471" t="s">
        <v>22</v>
      </c>
      <c r="E471">
        <v>2302.88</v>
      </c>
      <c r="F471">
        <v>6</v>
      </c>
      <c r="G471">
        <v>332.1</v>
      </c>
      <c r="H471">
        <v>0.05</v>
      </c>
      <c r="I471" t="str">
        <f>VLOOKUP(C471,[1]Sheet!$A:$D,3,FALSE)</f>
        <v>West</v>
      </c>
      <c r="J471" t="str">
        <f>VLOOKUP(C471,[1]Sheet!$A:$D,4,FALSE)</f>
        <v>Home Office</v>
      </c>
      <c r="K471">
        <f t="shared" si="7"/>
        <v>0.14421072743694852</v>
      </c>
    </row>
    <row r="472" spans="1:11" x14ac:dyDescent="0.25">
      <c r="A472" t="s">
        <v>843</v>
      </c>
      <c r="B472" t="s">
        <v>789</v>
      </c>
      <c r="C472" t="s">
        <v>151</v>
      </c>
      <c r="D472" t="s">
        <v>15</v>
      </c>
      <c r="E472">
        <v>1610.71</v>
      </c>
      <c r="F472">
        <v>3</v>
      </c>
      <c r="G472">
        <v>208.59</v>
      </c>
      <c r="H472">
        <v>0.1</v>
      </c>
      <c r="I472" t="str">
        <f>VLOOKUP(C472,[1]Sheet!$A:$D,3,FALSE)</f>
        <v>North</v>
      </c>
      <c r="J472" t="str">
        <f>VLOOKUP(C472,[1]Sheet!$A:$D,4,FALSE)</f>
        <v>Consumer</v>
      </c>
      <c r="K472">
        <f t="shared" si="7"/>
        <v>0.12950189667910425</v>
      </c>
    </row>
    <row r="473" spans="1:11" x14ac:dyDescent="0.25">
      <c r="A473" t="s">
        <v>844</v>
      </c>
      <c r="B473" t="s">
        <v>339</v>
      </c>
      <c r="C473" t="s">
        <v>157</v>
      </c>
      <c r="D473" t="s">
        <v>15</v>
      </c>
      <c r="E473">
        <v>3514.7</v>
      </c>
      <c r="F473">
        <v>2</v>
      </c>
      <c r="G473">
        <v>218.26</v>
      </c>
      <c r="H473">
        <v>0.05</v>
      </c>
      <c r="I473" t="str">
        <f>VLOOKUP(C473,[1]Sheet!$A:$D,3,FALSE)</f>
        <v>South</v>
      </c>
      <c r="J473" t="str">
        <f>VLOOKUP(C473,[1]Sheet!$A:$D,4,FALSE)</f>
        <v>Home Office</v>
      </c>
      <c r="K473">
        <f t="shared" si="7"/>
        <v>6.2099183429595702E-2</v>
      </c>
    </row>
    <row r="474" spans="1:11" x14ac:dyDescent="0.25">
      <c r="A474" t="s">
        <v>845</v>
      </c>
      <c r="B474" t="s">
        <v>536</v>
      </c>
      <c r="C474" t="s">
        <v>91</v>
      </c>
      <c r="D474" t="s">
        <v>11</v>
      </c>
      <c r="E474">
        <v>2041.6</v>
      </c>
      <c r="F474">
        <v>3</v>
      </c>
      <c r="G474">
        <v>132.06</v>
      </c>
      <c r="H474">
        <v>0</v>
      </c>
      <c r="I474" t="str">
        <f>VLOOKUP(C474,[1]Sheet!$A:$D,3,FALSE)</f>
        <v>East</v>
      </c>
      <c r="J474" t="str">
        <f>VLOOKUP(C474,[1]Sheet!$A:$D,4,FALSE)</f>
        <v>Consumer</v>
      </c>
      <c r="K474">
        <f t="shared" si="7"/>
        <v>6.4684561128526649E-2</v>
      </c>
    </row>
    <row r="475" spans="1:11" x14ac:dyDescent="0.25">
      <c r="A475" t="s">
        <v>846</v>
      </c>
      <c r="B475" t="s">
        <v>220</v>
      </c>
      <c r="C475" t="s">
        <v>104</v>
      </c>
      <c r="D475" t="s">
        <v>15</v>
      </c>
      <c r="E475">
        <v>4287.55</v>
      </c>
      <c r="F475">
        <v>2</v>
      </c>
      <c r="G475">
        <v>929.48</v>
      </c>
      <c r="H475">
        <v>0.15</v>
      </c>
      <c r="I475" t="str">
        <f>VLOOKUP(C475,[1]Sheet!$A:$D,3,FALSE)</f>
        <v>South</v>
      </c>
      <c r="J475" t="str">
        <f>VLOOKUP(C475,[1]Sheet!$A:$D,4,FALSE)</f>
        <v>Home Office</v>
      </c>
      <c r="K475">
        <f t="shared" si="7"/>
        <v>0.21678581007801659</v>
      </c>
    </row>
    <row r="476" spans="1:11" x14ac:dyDescent="0.25">
      <c r="A476" t="s">
        <v>847</v>
      </c>
      <c r="B476" t="s">
        <v>822</v>
      </c>
      <c r="C476" t="s">
        <v>198</v>
      </c>
      <c r="D476" t="s">
        <v>15</v>
      </c>
      <c r="E476">
        <v>4039.09</v>
      </c>
      <c r="F476">
        <v>4</v>
      </c>
      <c r="G476">
        <v>371.35</v>
      </c>
      <c r="H476">
        <v>0.05</v>
      </c>
      <c r="I476" t="str">
        <f>VLOOKUP(C476,[1]Sheet!$A:$D,3,FALSE)</f>
        <v>South</v>
      </c>
      <c r="J476" t="str">
        <f>VLOOKUP(C476,[1]Sheet!$A:$D,4,FALSE)</f>
        <v>Home Office</v>
      </c>
      <c r="K476">
        <f t="shared" si="7"/>
        <v>9.1939025869688468E-2</v>
      </c>
    </row>
    <row r="477" spans="1:11" x14ac:dyDescent="0.25">
      <c r="A477" t="s">
        <v>848</v>
      </c>
      <c r="B477" t="s">
        <v>849</v>
      </c>
      <c r="C477" t="s">
        <v>135</v>
      </c>
      <c r="D477" t="s">
        <v>22</v>
      </c>
      <c r="E477">
        <v>4136</v>
      </c>
      <c r="F477">
        <v>2</v>
      </c>
      <c r="G477">
        <v>668.68</v>
      </c>
      <c r="H477">
        <v>0.2</v>
      </c>
      <c r="I477" t="str">
        <f>VLOOKUP(C477,[1]Sheet!$A:$D,3,FALSE)</f>
        <v>East</v>
      </c>
      <c r="J477" t="str">
        <f>VLOOKUP(C477,[1]Sheet!$A:$D,4,FALSE)</f>
        <v>Home Office</v>
      </c>
      <c r="K477">
        <f t="shared" si="7"/>
        <v>0.16167311411992261</v>
      </c>
    </row>
    <row r="478" spans="1:11" x14ac:dyDescent="0.25">
      <c r="A478" t="s">
        <v>850</v>
      </c>
      <c r="B478" t="s">
        <v>851</v>
      </c>
      <c r="C478" t="s">
        <v>359</v>
      </c>
      <c r="D478" t="s">
        <v>15</v>
      </c>
      <c r="E478">
        <v>1368.22</v>
      </c>
      <c r="F478">
        <v>4</v>
      </c>
      <c r="G478">
        <v>402.02</v>
      </c>
      <c r="H478">
        <v>0.15</v>
      </c>
      <c r="I478" t="str">
        <f>VLOOKUP(C478,[1]Sheet!$A:$D,3,FALSE)</f>
        <v>East</v>
      </c>
      <c r="J478" t="str">
        <f>VLOOKUP(C478,[1]Sheet!$A:$D,4,FALSE)</f>
        <v>Home Office</v>
      </c>
      <c r="K478">
        <f t="shared" si="7"/>
        <v>0.29382701612313805</v>
      </c>
    </row>
    <row r="479" spans="1:11" x14ac:dyDescent="0.25">
      <c r="A479" t="s">
        <v>852</v>
      </c>
      <c r="B479" t="s">
        <v>115</v>
      </c>
      <c r="C479" t="s">
        <v>184</v>
      </c>
      <c r="D479" t="s">
        <v>15</v>
      </c>
      <c r="E479">
        <v>550.70000000000005</v>
      </c>
      <c r="F479">
        <v>1</v>
      </c>
      <c r="G479">
        <v>167.51</v>
      </c>
      <c r="H479">
        <v>0.15</v>
      </c>
      <c r="I479" t="str">
        <f>VLOOKUP(C479,[1]Sheet!$A:$D,3,FALSE)</f>
        <v>South</v>
      </c>
      <c r="J479" t="str">
        <f>VLOOKUP(C479,[1]Sheet!$A:$D,4,FALSE)</f>
        <v>Corporate</v>
      </c>
      <c r="K479">
        <f t="shared" si="7"/>
        <v>0.30417650263301249</v>
      </c>
    </row>
    <row r="480" spans="1:11" x14ac:dyDescent="0.25">
      <c r="A480" t="s">
        <v>853</v>
      </c>
      <c r="B480" t="s">
        <v>414</v>
      </c>
      <c r="C480" t="s">
        <v>173</v>
      </c>
      <c r="D480" t="s">
        <v>11</v>
      </c>
      <c r="E480">
        <v>923.15</v>
      </c>
      <c r="F480">
        <v>1</v>
      </c>
      <c r="G480">
        <v>205.09</v>
      </c>
      <c r="H480">
        <v>0.15</v>
      </c>
      <c r="I480" t="str">
        <f>VLOOKUP(C480,[1]Sheet!$A:$D,3,FALSE)</f>
        <v>North</v>
      </c>
      <c r="J480" t="str">
        <f>VLOOKUP(C480,[1]Sheet!$A:$D,4,FALSE)</f>
        <v>Consumer</v>
      </c>
      <c r="K480">
        <f t="shared" si="7"/>
        <v>0.22216324540973839</v>
      </c>
    </row>
    <row r="481" spans="1:11" x14ac:dyDescent="0.25">
      <c r="A481" t="s">
        <v>854</v>
      </c>
      <c r="B481" t="s">
        <v>48</v>
      </c>
      <c r="C481" t="s">
        <v>76</v>
      </c>
      <c r="D481" t="s">
        <v>11</v>
      </c>
      <c r="E481">
        <v>2190.65</v>
      </c>
      <c r="F481">
        <v>5</v>
      </c>
      <c r="G481">
        <v>342.14</v>
      </c>
      <c r="H481">
        <v>0.15</v>
      </c>
      <c r="I481" t="str">
        <f>VLOOKUP(C481,[1]Sheet!$A:$D,3,FALSE)</f>
        <v>West</v>
      </c>
      <c r="J481" t="str">
        <f>VLOOKUP(C481,[1]Sheet!$A:$D,4,FALSE)</f>
        <v>Home Office</v>
      </c>
      <c r="K481">
        <f t="shared" si="7"/>
        <v>0.15618195512747357</v>
      </c>
    </row>
    <row r="482" spans="1:11" x14ac:dyDescent="0.25">
      <c r="A482" t="s">
        <v>855</v>
      </c>
      <c r="B482" t="s">
        <v>856</v>
      </c>
      <c r="C482" t="s">
        <v>43</v>
      </c>
      <c r="D482" t="s">
        <v>22</v>
      </c>
      <c r="E482">
        <v>269.77999999999997</v>
      </c>
      <c r="F482">
        <v>5</v>
      </c>
      <c r="G482">
        <v>63.6</v>
      </c>
      <c r="H482">
        <v>0.15</v>
      </c>
      <c r="I482" t="str">
        <f>VLOOKUP(C482,[1]Sheet!$A:$D,3,FALSE)</f>
        <v>East</v>
      </c>
      <c r="J482" t="str">
        <f>VLOOKUP(C482,[1]Sheet!$A:$D,4,FALSE)</f>
        <v>Corporate</v>
      </c>
      <c r="K482">
        <f t="shared" si="7"/>
        <v>0.23574764623026173</v>
      </c>
    </row>
    <row r="483" spans="1:11" x14ac:dyDescent="0.25">
      <c r="A483" t="s">
        <v>857</v>
      </c>
      <c r="B483" t="s">
        <v>534</v>
      </c>
      <c r="C483" t="s">
        <v>251</v>
      </c>
      <c r="D483" t="s">
        <v>11</v>
      </c>
      <c r="E483">
        <v>4425.62</v>
      </c>
      <c r="F483">
        <v>7</v>
      </c>
      <c r="G483">
        <v>857.28</v>
      </c>
      <c r="H483">
        <v>0.05</v>
      </c>
      <c r="I483" t="str">
        <f>VLOOKUP(C483,[1]Sheet!$A:$D,3,FALSE)</f>
        <v>East</v>
      </c>
      <c r="J483" t="str">
        <f>VLOOKUP(C483,[1]Sheet!$A:$D,4,FALSE)</f>
        <v>Home Office</v>
      </c>
      <c r="K483">
        <f t="shared" si="7"/>
        <v>0.19370845214907742</v>
      </c>
    </row>
    <row r="484" spans="1:11" x14ac:dyDescent="0.25">
      <c r="A484" t="s">
        <v>858</v>
      </c>
      <c r="B484" t="s">
        <v>374</v>
      </c>
      <c r="C484" t="s">
        <v>138</v>
      </c>
      <c r="D484" t="s">
        <v>15</v>
      </c>
      <c r="E484">
        <v>1077.3399999999999</v>
      </c>
      <c r="F484">
        <v>9</v>
      </c>
      <c r="G484">
        <v>339.79</v>
      </c>
      <c r="H484">
        <v>0</v>
      </c>
      <c r="I484" t="str">
        <f>VLOOKUP(C484,[1]Sheet!$A:$D,3,FALSE)</f>
        <v>West</v>
      </c>
      <c r="J484" t="str">
        <f>VLOOKUP(C484,[1]Sheet!$A:$D,4,FALSE)</f>
        <v>Home Office</v>
      </c>
      <c r="K484">
        <f t="shared" si="7"/>
        <v>0.31539718194813154</v>
      </c>
    </row>
    <row r="485" spans="1:11" x14ac:dyDescent="0.25">
      <c r="A485" t="s">
        <v>859</v>
      </c>
      <c r="B485" t="s">
        <v>759</v>
      </c>
      <c r="C485" t="s">
        <v>162</v>
      </c>
      <c r="D485" t="s">
        <v>11</v>
      </c>
      <c r="E485">
        <v>3931.39</v>
      </c>
      <c r="F485">
        <v>6</v>
      </c>
      <c r="G485">
        <v>620.11</v>
      </c>
      <c r="H485">
        <v>0.2</v>
      </c>
      <c r="I485" t="str">
        <f>VLOOKUP(C485,[1]Sheet!$A:$D,3,FALSE)</f>
        <v>West</v>
      </c>
      <c r="J485" t="str">
        <f>VLOOKUP(C485,[1]Sheet!$A:$D,4,FALSE)</f>
        <v>Corporate</v>
      </c>
      <c r="K485">
        <f t="shared" si="7"/>
        <v>0.15773301554920779</v>
      </c>
    </row>
    <row r="486" spans="1:11" x14ac:dyDescent="0.25">
      <c r="A486" t="s">
        <v>860</v>
      </c>
      <c r="B486" t="s">
        <v>480</v>
      </c>
      <c r="C486" t="s">
        <v>291</v>
      </c>
      <c r="D486" t="s">
        <v>11</v>
      </c>
      <c r="E486">
        <v>1675.86</v>
      </c>
      <c r="F486">
        <v>10</v>
      </c>
      <c r="G486">
        <v>219.76</v>
      </c>
      <c r="H486">
        <v>0.05</v>
      </c>
      <c r="I486" t="str">
        <f>VLOOKUP(C486,[1]Sheet!$A:$D,3,FALSE)</f>
        <v>East</v>
      </c>
      <c r="J486" t="str">
        <f>VLOOKUP(C486,[1]Sheet!$A:$D,4,FALSE)</f>
        <v>Home Office</v>
      </c>
      <c r="K486">
        <f t="shared" si="7"/>
        <v>0.13113267218025373</v>
      </c>
    </row>
    <row r="487" spans="1:11" x14ac:dyDescent="0.25">
      <c r="A487" t="s">
        <v>861</v>
      </c>
      <c r="B487" t="s">
        <v>42</v>
      </c>
      <c r="C487" t="s">
        <v>97</v>
      </c>
      <c r="D487" t="s">
        <v>11</v>
      </c>
      <c r="E487">
        <v>4489.25</v>
      </c>
      <c r="F487">
        <v>9</v>
      </c>
      <c r="G487">
        <v>1272.98</v>
      </c>
      <c r="H487">
        <v>0.1</v>
      </c>
      <c r="I487" t="str">
        <f>VLOOKUP(C487,[1]Sheet!$A:$D,3,FALSE)</f>
        <v>North</v>
      </c>
      <c r="J487" t="str">
        <f>VLOOKUP(C487,[1]Sheet!$A:$D,4,FALSE)</f>
        <v>Home Office</v>
      </c>
      <c r="K487">
        <f t="shared" si="7"/>
        <v>0.28356184217853764</v>
      </c>
    </row>
    <row r="488" spans="1:11" x14ac:dyDescent="0.25">
      <c r="A488" t="s">
        <v>862</v>
      </c>
      <c r="B488" t="s">
        <v>563</v>
      </c>
      <c r="C488" t="s">
        <v>466</v>
      </c>
      <c r="D488" t="s">
        <v>15</v>
      </c>
      <c r="E488">
        <v>2961.55</v>
      </c>
      <c r="F488">
        <v>4</v>
      </c>
      <c r="G488">
        <v>354.88</v>
      </c>
      <c r="H488">
        <v>0.05</v>
      </c>
      <c r="I488" t="str">
        <f>VLOOKUP(C488,[1]Sheet!$A:$D,3,FALSE)</f>
        <v>South</v>
      </c>
      <c r="J488" t="str">
        <f>VLOOKUP(C488,[1]Sheet!$A:$D,4,FALSE)</f>
        <v>Consumer</v>
      </c>
      <c r="K488">
        <f t="shared" si="7"/>
        <v>0.11982914352281744</v>
      </c>
    </row>
    <row r="489" spans="1:11" x14ac:dyDescent="0.25">
      <c r="A489" t="s">
        <v>863</v>
      </c>
      <c r="B489" t="s">
        <v>545</v>
      </c>
      <c r="C489" t="s">
        <v>224</v>
      </c>
      <c r="D489" t="s">
        <v>15</v>
      </c>
      <c r="E489">
        <v>2715.08</v>
      </c>
      <c r="F489">
        <v>10</v>
      </c>
      <c r="G489">
        <v>780.24</v>
      </c>
      <c r="H489">
        <v>0.15</v>
      </c>
      <c r="I489" t="str">
        <f>VLOOKUP(C489,[1]Sheet!$A:$D,3,FALSE)</f>
        <v>South</v>
      </c>
      <c r="J489" t="str">
        <f>VLOOKUP(C489,[1]Sheet!$A:$D,4,FALSE)</f>
        <v>Home Office</v>
      </c>
      <c r="K489">
        <f t="shared" si="7"/>
        <v>0.28737274776433847</v>
      </c>
    </row>
    <row r="490" spans="1:11" x14ac:dyDescent="0.25">
      <c r="A490" t="s">
        <v>864</v>
      </c>
      <c r="B490" t="s">
        <v>435</v>
      </c>
      <c r="C490" t="s">
        <v>91</v>
      </c>
      <c r="D490" t="s">
        <v>15</v>
      </c>
      <c r="E490">
        <v>4682.51</v>
      </c>
      <c r="F490">
        <v>4</v>
      </c>
      <c r="G490">
        <v>1627</v>
      </c>
      <c r="H490">
        <v>0.2</v>
      </c>
      <c r="I490" t="str">
        <f>VLOOKUP(C490,[1]Sheet!$A:$D,3,FALSE)</f>
        <v>East</v>
      </c>
      <c r="J490" t="str">
        <f>VLOOKUP(C490,[1]Sheet!$A:$D,4,FALSE)</f>
        <v>Consumer</v>
      </c>
      <c r="K490">
        <f t="shared" si="7"/>
        <v>0.34746321951261183</v>
      </c>
    </row>
    <row r="491" spans="1:11" x14ac:dyDescent="0.25">
      <c r="A491" t="s">
        <v>865</v>
      </c>
      <c r="B491" t="s">
        <v>650</v>
      </c>
      <c r="C491" t="s">
        <v>155</v>
      </c>
      <c r="D491" t="s">
        <v>15</v>
      </c>
      <c r="E491">
        <v>4050.43</v>
      </c>
      <c r="F491">
        <v>6</v>
      </c>
      <c r="G491">
        <v>1050.23</v>
      </c>
      <c r="H491">
        <v>0.2</v>
      </c>
      <c r="I491" t="str">
        <f>VLOOKUP(C491,[1]Sheet!$A:$D,3,FALSE)</f>
        <v>East</v>
      </c>
      <c r="J491" t="str">
        <f>VLOOKUP(C491,[1]Sheet!$A:$D,4,FALSE)</f>
        <v>Home Office</v>
      </c>
      <c r="K491">
        <f t="shared" si="7"/>
        <v>0.25928851998429797</v>
      </c>
    </row>
    <row r="492" spans="1:11" x14ac:dyDescent="0.25">
      <c r="A492" t="s">
        <v>866</v>
      </c>
      <c r="B492" t="s">
        <v>354</v>
      </c>
      <c r="C492" t="s">
        <v>62</v>
      </c>
      <c r="D492" t="s">
        <v>22</v>
      </c>
      <c r="E492">
        <v>796.3</v>
      </c>
      <c r="F492">
        <v>5</v>
      </c>
      <c r="G492">
        <v>266.37</v>
      </c>
      <c r="H492">
        <v>0.05</v>
      </c>
      <c r="I492" t="str">
        <f>VLOOKUP(C492,[1]Sheet!$A:$D,3,FALSE)</f>
        <v>East</v>
      </c>
      <c r="J492" t="str">
        <f>VLOOKUP(C492,[1]Sheet!$A:$D,4,FALSE)</f>
        <v>Home Office</v>
      </c>
      <c r="K492">
        <f t="shared" si="7"/>
        <v>0.33450960693206083</v>
      </c>
    </row>
    <row r="493" spans="1:11" x14ac:dyDescent="0.25">
      <c r="A493" t="s">
        <v>867</v>
      </c>
      <c r="B493" t="s">
        <v>868</v>
      </c>
      <c r="C493" t="s">
        <v>382</v>
      </c>
      <c r="D493" t="s">
        <v>15</v>
      </c>
      <c r="E493">
        <v>286.02</v>
      </c>
      <c r="F493">
        <v>1</v>
      </c>
      <c r="G493">
        <v>19.12</v>
      </c>
      <c r="H493">
        <v>0.2</v>
      </c>
      <c r="I493" t="str">
        <f>VLOOKUP(C493,[1]Sheet!$A:$D,3,FALSE)</f>
        <v>West</v>
      </c>
      <c r="J493" t="str">
        <f>VLOOKUP(C493,[1]Sheet!$A:$D,4,FALSE)</f>
        <v>Home Office</v>
      </c>
      <c r="K493">
        <f t="shared" si="7"/>
        <v>6.6848472134815762E-2</v>
      </c>
    </row>
    <row r="494" spans="1:11" x14ac:dyDescent="0.25">
      <c r="A494" t="s">
        <v>869</v>
      </c>
      <c r="B494" t="s">
        <v>870</v>
      </c>
      <c r="C494" t="s">
        <v>238</v>
      </c>
      <c r="D494" t="s">
        <v>15</v>
      </c>
      <c r="E494">
        <v>103.35</v>
      </c>
      <c r="F494">
        <v>6</v>
      </c>
      <c r="G494">
        <v>33.630000000000003</v>
      </c>
      <c r="H494">
        <v>0.05</v>
      </c>
      <c r="I494" t="str">
        <f>VLOOKUP(C494,[1]Sheet!$A:$D,3,FALSE)</f>
        <v>North</v>
      </c>
      <c r="J494" t="str">
        <f>VLOOKUP(C494,[1]Sheet!$A:$D,4,FALSE)</f>
        <v>Corporate</v>
      </c>
      <c r="K494">
        <f t="shared" si="7"/>
        <v>0.32539912917271413</v>
      </c>
    </row>
    <row r="495" spans="1:11" x14ac:dyDescent="0.25">
      <c r="A495" t="s">
        <v>871</v>
      </c>
      <c r="B495" t="s">
        <v>530</v>
      </c>
      <c r="C495" t="s">
        <v>428</v>
      </c>
      <c r="D495" t="s">
        <v>15</v>
      </c>
      <c r="E495">
        <v>391.82</v>
      </c>
      <c r="F495">
        <v>2</v>
      </c>
      <c r="G495">
        <v>36.950000000000003</v>
      </c>
      <c r="H495">
        <v>0.2</v>
      </c>
      <c r="I495" t="str">
        <f>VLOOKUP(C495,[1]Sheet!$A:$D,3,FALSE)</f>
        <v>South</v>
      </c>
      <c r="J495" t="str">
        <f>VLOOKUP(C495,[1]Sheet!$A:$D,4,FALSE)</f>
        <v>Home Office</v>
      </c>
      <c r="K495">
        <f t="shared" si="7"/>
        <v>9.4303506712265839E-2</v>
      </c>
    </row>
    <row r="496" spans="1:11" x14ac:dyDescent="0.25">
      <c r="A496" t="s">
        <v>872</v>
      </c>
      <c r="B496" t="s">
        <v>217</v>
      </c>
      <c r="C496" t="s">
        <v>116</v>
      </c>
      <c r="D496" t="s">
        <v>11</v>
      </c>
      <c r="E496">
        <v>4806.74</v>
      </c>
      <c r="F496">
        <v>10</v>
      </c>
      <c r="G496">
        <v>779.06</v>
      </c>
      <c r="H496">
        <v>0</v>
      </c>
      <c r="I496" t="str">
        <f>VLOOKUP(C496,[1]Sheet!$A:$D,3,FALSE)</f>
        <v>South</v>
      </c>
      <c r="J496" t="str">
        <f>VLOOKUP(C496,[1]Sheet!$A:$D,4,FALSE)</f>
        <v>Home Office</v>
      </c>
      <c r="K496">
        <f t="shared" si="7"/>
        <v>0.16207658412978443</v>
      </c>
    </row>
    <row r="497" spans="1:11" x14ac:dyDescent="0.25">
      <c r="A497" t="s">
        <v>873</v>
      </c>
      <c r="B497" t="s">
        <v>874</v>
      </c>
      <c r="C497" t="s">
        <v>208</v>
      </c>
      <c r="D497" t="s">
        <v>22</v>
      </c>
      <c r="E497">
        <v>1578.65</v>
      </c>
      <c r="F497">
        <v>7</v>
      </c>
      <c r="G497">
        <v>143.56</v>
      </c>
      <c r="H497">
        <v>0.15</v>
      </c>
      <c r="I497" t="str">
        <f>VLOOKUP(C497,[1]Sheet!$A:$D,3,FALSE)</f>
        <v>South</v>
      </c>
      <c r="J497" t="str">
        <f>VLOOKUP(C497,[1]Sheet!$A:$D,4,FALSE)</f>
        <v>Consumer</v>
      </c>
      <c r="K497">
        <f t="shared" si="7"/>
        <v>9.093846007664777E-2</v>
      </c>
    </row>
    <row r="498" spans="1:11" x14ac:dyDescent="0.25">
      <c r="A498" t="s">
        <v>875</v>
      </c>
      <c r="B498" t="s">
        <v>350</v>
      </c>
      <c r="C498" t="s">
        <v>271</v>
      </c>
      <c r="D498" t="s">
        <v>22</v>
      </c>
      <c r="E498">
        <v>1654.69</v>
      </c>
      <c r="F498">
        <v>10</v>
      </c>
      <c r="G498">
        <v>433.79</v>
      </c>
      <c r="H498">
        <v>0.1</v>
      </c>
      <c r="I498" t="str">
        <f>VLOOKUP(C498,[1]Sheet!$A:$D,3,FALSE)</f>
        <v>South</v>
      </c>
      <c r="J498" t="str">
        <f>VLOOKUP(C498,[1]Sheet!$A:$D,4,FALSE)</f>
        <v>Home Office</v>
      </c>
      <c r="K498">
        <f t="shared" si="7"/>
        <v>0.2621578664281527</v>
      </c>
    </row>
    <row r="499" spans="1:11" x14ac:dyDescent="0.25">
      <c r="A499" t="s">
        <v>876</v>
      </c>
      <c r="B499" t="s">
        <v>659</v>
      </c>
      <c r="C499" t="s">
        <v>218</v>
      </c>
      <c r="D499" t="s">
        <v>11</v>
      </c>
      <c r="E499">
        <v>3361.11</v>
      </c>
      <c r="F499">
        <v>5</v>
      </c>
      <c r="G499">
        <v>989.3</v>
      </c>
      <c r="H499">
        <v>0.05</v>
      </c>
      <c r="I499" t="str">
        <f>VLOOKUP(C499,[1]Sheet!$A:$D,3,FALSE)</f>
        <v>South</v>
      </c>
      <c r="J499" t="str">
        <f>VLOOKUP(C499,[1]Sheet!$A:$D,4,FALSE)</f>
        <v>Corporate</v>
      </c>
      <c r="K499">
        <f t="shared" si="7"/>
        <v>0.29433728738422721</v>
      </c>
    </row>
    <row r="500" spans="1:11" x14ac:dyDescent="0.25">
      <c r="A500" t="s">
        <v>877</v>
      </c>
      <c r="B500" t="s">
        <v>878</v>
      </c>
      <c r="C500" t="s">
        <v>201</v>
      </c>
      <c r="D500" t="s">
        <v>11</v>
      </c>
      <c r="E500">
        <v>3671.27</v>
      </c>
      <c r="F500">
        <v>10</v>
      </c>
      <c r="G500">
        <v>1228.54</v>
      </c>
      <c r="H500">
        <v>0</v>
      </c>
      <c r="I500" t="str">
        <f>VLOOKUP(C500,[1]Sheet!$A:$D,3,FALSE)</f>
        <v>North</v>
      </c>
      <c r="J500" t="str">
        <f>VLOOKUP(C500,[1]Sheet!$A:$D,4,FALSE)</f>
        <v>Corporate</v>
      </c>
      <c r="K500">
        <f t="shared" si="7"/>
        <v>0.33463624304396028</v>
      </c>
    </row>
    <row r="501" spans="1:11" x14ac:dyDescent="0.25">
      <c r="A501" t="s">
        <v>879</v>
      </c>
      <c r="B501" t="s">
        <v>578</v>
      </c>
      <c r="C501" t="s">
        <v>676</v>
      </c>
      <c r="D501" t="s">
        <v>15</v>
      </c>
      <c r="E501">
        <v>3051.7</v>
      </c>
      <c r="F501">
        <v>10</v>
      </c>
      <c r="G501">
        <v>995.8</v>
      </c>
      <c r="H501">
        <v>0</v>
      </c>
      <c r="I501" t="str">
        <f>VLOOKUP(C501,[1]Sheet!$A:$D,3,FALSE)</f>
        <v>North</v>
      </c>
      <c r="J501" t="str">
        <f>VLOOKUP(C501,[1]Sheet!$A:$D,4,FALSE)</f>
        <v>Home Office</v>
      </c>
      <c r="K501">
        <f t="shared" si="7"/>
        <v>0.32630992561523087</v>
      </c>
    </row>
    <row r="502" spans="1:11" x14ac:dyDescent="0.25">
      <c r="A502" t="s">
        <v>880</v>
      </c>
      <c r="B502" t="s">
        <v>93</v>
      </c>
      <c r="C502" t="s">
        <v>492</v>
      </c>
      <c r="D502" t="s">
        <v>11</v>
      </c>
      <c r="E502">
        <v>789.15</v>
      </c>
      <c r="F502">
        <v>6</v>
      </c>
      <c r="G502">
        <v>215.91</v>
      </c>
      <c r="H502">
        <v>0.05</v>
      </c>
      <c r="I502" t="str">
        <f>VLOOKUP(C502,[1]Sheet!$A:$D,3,FALSE)</f>
        <v>West</v>
      </c>
      <c r="J502" t="str">
        <f>VLOOKUP(C502,[1]Sheet!$A:$D,4,FALSE)</f>
        <v>Home Office</v>
      </c>
      <c r="K502">
        <f t="shared" si="7"/>
        <v>0.27359817525185326</v>
      </c>
    </row>
    <row r="503" spans="1:11" x14ac:dyDescent="0.25">
      <c r="A503" t="s">
        <v>881</v>
      </c>
      <c r="B503" t="s">
        <v>654</v>
      </c>
      <c r="C503" t="s">
        <v>79</v>
      </c>
      <c r="D503" t="s">
        <v>22</v>
      </c>
      <c r="E503">
        <v>4438.07</v>
      </c>
      <c r="F503">
        <v>6</v>
      </c>
      <c r="G503">
        <v>340.04</v>
      </c>
      <c r="H503">
        <v>0.15</v>
      </c>
      <c r="I503" t="str">
        <f>VLOOKUP(C503,[1]Sheet!$A:$D,3,FALSE)</f>
        <v>East</v>
      </c>
      <c r="J503" t="str">
        <f>VLOOKUP(C503,[1]Sheet!$A:$D,4,FALSE)</f>
        <v>Corporate</v>
      </c>
      <c r="K503">
        <f t="shared" si="7"/>
        <v>7.6618890643906035E-2</v>
      </c>
    </row>
    <row r="504" spans="1:11" x14ac:dyDescent="0.25">
      <c r="A504" t="s">
        <v>882</v>
      </c>
      <c r="B504" t="s">
        <v>883</v>
      </c>
      <c r="C504" t="s">
        <v>372</v>
      </c>
      <c r="D504" t="s">
        <v>11</v>
      </c>
      <c r="E504">
        <v>1399.54</v>
      </c>
      <c r="F504">
        <v>5</v>
      </c>
      <c r="G504">
        <v>174.75</v>
      </c>
      <c r="H504">
        <v>0</v>
      </c>
      <c r="I504" t="str">
        <f>VLOOKUP(C504,[1]Sheet!$A:$D,3,FALSE)</f>
        <v>East</v>
      </c>
      <c r="J504" t="str">
        <f>VLOOKUP(C504,[1]Sheet!$A:$D,4,FALSE)</f>
        <v>Consumer</v>
      </c>
      <c r="K504">
        <f t="shared" si="7"/>
        <v>0.1248624548065793</v>
      </c>
    </row>
    <row r="505" spans="1:11" x14ac:dyDescent="0.25">
      <c r="A505" t="s">
        <v>884</v>
      </c>
      <c r="B505" t="s">
        <v>885</v>
      </c>
      <c r="C505" t="s">
        <v>119</v>
      </c>
      <c r="D505" t="s">
        <v>15</v>
      </c>
      <c r="E505">
        <v>106.28</v>
      </c>
      <c r="F505">
        <v>7</v>
      </c>
      <c r="G505">
        <v>17.62</v>
      </c>
      <c r="H505">
        <v>0.15</v>
      </c>
      <c r="I505" t="str">
        <f>VLOOKUP(C505,[1]Sheet!$A:$D,3,FALSE)</f>
        <v>East</v>
      </c>
      <c r="J505" t="str">
        <f>VLOOKUP(C505,[1]Sheet!$A:$D,4,FALSE)</f>
        <v>Corporate</v>
      </c>
      <c r="K505">
        <f t="shared" si="7"/>
        <v>0.16578848325178774</v>
      </c>
    </row>
    <row r="506" spans="1:11" x14ac:dyDescent="0.25">
      <c r="A506" t="s">
        <v>886</v>
      </c>
      <c r="B506" t="s">
        <v>379</v>
      </c>
      <c r="C506" t="s">
        <v>162</v>
      </c>
      <c r="D506" t="s">
        <v>22</v>
      </c>
      <c r="E506">
        <v>1821.03</v>
      </c>
      <c r="F506">
        <v>4</v>
      </c>
      <c r="G506">
        <v>296.11</v>
      </c>
      <c r="H506">
        <v>0.05</v>
      </c>
      <c r="I506" t="str">
        <f>VLOOKUP(C506,[1]Sheet!$A:$D,3,FALSE)</f>
        <v>West</v>
      </c>
      <c r="J506" t="str">
        <f>VLOOKUP(C506,[1]Sheet!$A:$D,4,FALSE)</f>
        <v>Corporate</v>
      </c>
      <c r="K506">
        <f t="shared" si="7"/>
        <v>0.16260577804868676</v>
      </c>
    </row>
    <row r="507" spans="1:11" x14ac:dyDescent="0.25">
      <c r="A507" t="s">
        <v>887</v>
      </c>
      <c r="B507" t="s">
        <v>315</v>
      </c>
      <c r="C507" t="s">
        <v>151</v>
      </c>
      <c r="D507" t="s">
        <v>15</v>
      </c>
      <c r="E507">
        <v>461.18</v>
      </c>
      <c r="F507">
        <v>6</v>
      </c>
      <c r="G507">
        <v>140.07</v>
      </c>
      <c r="H507">
        <v>0.1</v>
      </c>
      <c r="I507" t="str">
        <f>VLOOKUP(C507,[1]Sheet!$A:$D,3,FALSE)</f>
        <v>North</v>
      </c>
      <c r="J507" t="str">
        <f>VLOOKUP(C507,[1]Sheet!$A:$D,4,FALSE)</f>
        <v>Consumer</v>
      </c>
      <c r="K507">
        <f t="shared" si="7"/>
        <v>0.30372088989114876</v>
      </c>
    </row>
    <row r="508" spans="1:11" x14ac:dyDescent="0.25">
      <c r="A508" t="s">
        <v>888</v>
      </c>
      <c r="B508" t="s">
        <v>702</v>
      </c>
      <c r="C508" t="s">
        <v>198</v>
      </c>
      <c r="D508" t="s">
        <v>15</v>
      </c>
      <c r="E508">
        <v>463.58</v>
      </c>
      <c r="F508">
        <v>2</v>
      </c>
      <c r="G508">
        <v>46.84</v>
      </c>
      <c r="H508">
        <v>0.2</v>
      </c>
      <c r="I508" t="str">
        <f>VLOOKUP(C508,[1]Sheet!$A:$D,3,FALSE)</f>
        <v>South</v>
      </c>
      <c r="J508" t="str">
        <f>VLOOKUP(C508,[1]Sheet!$A:$D,4,FALSE)</f>
        <v>Home Office</v>
      </c>
      <c r="K508">
        <f t="shared" si="7"/>
        <v>0.101039734242202</v>
      </c>
    </row>
    <row r="509" spans="1:11" x14ac:dyDescent="0.25">
      <c r="A509" t="s">
        <v>889</v>
      </c>
      <c r="B509" t="s">
        <v>226</v>
      </c>
      <c r="C509" t="s">
        <v>34</v>
      </c>
      <c r="D509" t="s">
        <v>22</v>
      </c>
      <c r="E509">
        <v>1755.96</v>
      </c>
      <c r="F509">
        <v>1</v>
      </c>
      <c r="G509">
        <v>606.83000000000004</v>
      </c>
      <c r="H509">
        <v>0.15</v>
      </c>
      <c r="I509" t="str">
        <f>VLOOKUP(C509,[1]Sheet!$A:$D,3,FALSE)</f>
        <v>West</v>
      </c>
      <c r="J509" t="str">
        <f>VLOOKUP(C509,[1]Sheet!$A:$D,4,FALSE)</f>
        <v>Home Office</v>
      </c>
      <c r="K509">
        <f t="shared" si="7"/>
        <v>0.34558304289391562</v>
      </c>
    </row>
    <row r="510" spans="1:11" x14ac:dyDescent="0.25">
      <c r="A510" t="s">
        <v>890</v>
      </c>
      <c r="B510" t="s">
        <v>874</v>
      </c>
      <c r="C510" t="s">
        <v>271</v>
      </c>
      <c r="D510" t="s">
        <v>15</v>
      </c>
      <c r="E510">
        <v>908.49</v>
      </c>
      <c r="F510">
        <v>2</v>
      </c>
      <c r="G510">
        <v>287.92</v>
      </c>
      <c r="H510">
        <v>0.1</v>
      </c>
      <c r="I510" t="str">
        <f>VLOOKUP(C510,[1]Sheet!$A:$D,3,FALSE)</f>
        <v>South</v>
      </c>
      <c r="J510" t="str">
        <f>VLOOKUP(C510,[1]Sheet!$A:$D,4,FALSE)</f>
        <v>Home Office</v>
      </c>
      <c r="K510">
        <f t="shared" si="7"/>
        <v>0.31692148510165219</v>
      </c>
    </row>
    <row r="511" spans="1:11" x14ac:dyDescent="0.25">
      <c r="A511" t="s">
        <v>891</v>
      </c>
      <c r="B511" t="s">
        <v>366</v>
      </c>
      <c r="C511" t="s">
        <v>418</v>
      </c>
      <c r="D511" t="s">
        <v>22</v>
      </c>
      <c r="E511">
        <v>4874.55</v>
      </c>
      <c r="F511">
        <v>9</v>
      </c>
      <c r="G511">
        <v>842.24</v>
      </c>
      <c r="H511">
        <v>0.1</v>
      </c>
      <c r="I511" t="str">
        <f>VLOOKUP(C511,[1]Sheet!$A:$D,3,FALSE)</f>
        <v>South</v>
      </c>
      <c r="J511" t="str">
        <f>VLOOKUP(C511,[1]Sheet!$A:$D,4,FALSE)</f>
        <v>Home Office</v>
      </c>
      <c r="K511">
        <f t="shared" si="7"/>
        <v>0.1727831286990594</v>
      </c>
    </row>
    <row r="512" spans="1:11" x14ac:dyDescent="0.25">
      <c r="A512" t="s">
        <v>892</v>
      </c>
      <c r="B512" t="s">
        <v>893</v>
      </c>
      <c r="C512" t="s">
        <v>21</v>
      </c>
      <c r="D512" t="s">
        <v>11</v>
      </c>
      <c r="E512">
        <v>1479.46</v>
      </c>
      <c r="F512">
        <v>10</v>
      </c>
      <c r="G512">
        <v>179.41</v>
      </c>
      <c r="H512">
        <v>0.2</v>
      </c>
      <c r="I512" t="str">
        <f>VLOOKUP(C512,[1]Sheet!$A:$D,3,FALSE)</f>
        <v>North</v>
      </c>
      <c r="J512" t="str">
        <f>VLOOKUP(C512,[1]Sheet!$A:$D,4,FALSE)</f>
        <v>Consumer</v>
      </c>
      <c r="K512">
        <f t="shared" si="7"/>
        <v>0.12126721912048991</v>
      </c>
    </row>
    <row r="513" spans="1:11" x14ac:dyDescent="0.25">
      <c r="A513" t="s">
        <v>894</v>
      </c>
      <c r="B513" t="s">
        <v>81</v>
      </c>
      <c r="C513" t="s">
        <v>382</v>
      </c>
      <c r="D513" t="s">
        <v>15</v>
      </c>
      <c r="E513">
        <v>852.59</v>
      </c>
      <c r="F513">
        <v>5</v>
      </c>
      <c r="G513">
        <v>134.91999999999999</v>
      </c>
      <c r="H513">
        <v>0.2</v>
      </c>
      <c r="I513" t="str">
        <f>VLOOKUP(C513,[1]Sheet!$A:$D,3,FALSE)</f>
        <v>West</v>
      </c>
      <c r="J513" t="str">
        <f>VLOOKUP(C513,[1]Sheet!$A:$D,4,FALSE)</f>
        <v>Home Office</v>
      </c>
      <c r="K513">
        <f t="shared" si="7"/>
        <v>0.15824722316705567</v>
      </c>
    </row>
    <row r="514" spans="1:11" x14ac:dyDescent="0.25">
      <c r="A514" t="s">
        <v>895</v>
      </c>
      <c r="B514" t="s">
        <v>896</v>
      </c>
      <c r="C514" t="s">
        <v>238</v>
      </c>
      <c r="D514" t="s">
        <v>22</v>
      </c>
      <c r="E514">
        <v>1078.4100000000001</v>
      </c>
      <c r="F514">
        <v>5</v>
      </c>
      <c r="G514">
        <v>62.25</v>
      </c>
      <c r="H514">
        <v>0</v>
      </c>
      <c r="I514" t="str">
        <f>VLOOKUP(C514,[1]Sheet!$A:$D,3,FALSE)</f>
        <v>North</v>
      </c>
      <c r="J514" t="str">
        <f>VLOOKUP(C514,[1]Sheet!$A:$D,4,FALSE)</f>
        <v>Corporate</v>
      </c>
      <c r="K514">
        <f t="shared" si="7"/>
        <v>5.7723871254903046E-2</v>
      </c>
    </row>
    <row r="515" spans="1:11" x14ac:dyDescent="0.25">
      <c r="A515" t="s">
        <v>897</v>
      </c>
      <c r="B515" t="s">
        <v>700</v>
      </c>
      <c r="C515" t="s">
        <v>18</v>
      </c>
      <c r="D515" t="s">
        <v>11</v>
      </c>
      <c r="E515">
        <v>4234.47</v>
      </c>
      <c r="F515">
        <v>8</v>
      </c>
      <c r="G515">
        <v>603.44000000000005</v>
      </c>
      <c r="H515">
        <v>0.1</v>
      </c>
      <c r="I515" t="str">
        <f>VLOOKUP(C515,[1]Sheet!$A:$D,3,FALSE)</f>
        <v>West</v>
      </c>
      <c r="J515" t="str">
        <f>VLOOKUP(C515,[1]Sheet!$A:$D,4,FALSE)</f>
        <v>Home Office</v>
      </c>
      <c r="K515">
        <f t="shared" ref="K515:K578" si="8">G515/E515</f>
        <v>0.14250661830170011</v>
      </c>
    </row>
    <row r="516" spans="1:11" x14ac:dyDescent="0.25">
      <c r="A516" t="s">
        <v>898</v>
      </c>
      <c r="B516" t="s">
        <v>64</v>
      </c>
      <c r="C516" t="s">
        <v>34</v>
      </c>
      <c r="D516" t="s">
        <v>11</v>
      </c>
      <c r="E516">
        <v>3245.15</v>
      </c>
      <c r="F516">
        <v>6</v>
      </c>
      <c r="G516">
        <v>539.53</v>
      </c>
      <c r="H516">
        <v>0.05</v>
      </c>
      <c r="I516" t="str">
        <f>VLOOKUP(C516,[1]Sheet!$A:$D,3,FALSE)</f>
        <v>West</v>
      </c>
      <c r="J516" t="str">
        <f>VLOOKUP(C516,[1]Sheet!$A:$D,4,FALSE)</f>
        <v>Home Office</v>
      </c>
      <c r="K516">
        <f t="shared" si="8"/>
        <v>0.16625733787344188</v>
      </c>
    </row>
    <row r="517" spans="1:11" x14ac:dyDescent="0.25">
      <c r="A517" t="s">
        <v>899</v>
      </c>
      <c r="B517" t="s">
        <v>900</v>
      </c>
      <c r="C517" t="s">
        <v>151</v>
      </c>
      <c r="D517" t="s">
        <v>15</v>
      </c>
      <c r="E517">
        <v>318.62</v>
      </c>
      <c r="F517">
        <v>5</v>
      </c>
      <c r="G517">
        <v>57.96</v>
      </c>
      <c r="H517">
        <v>0.2</v>
      </c>
      <c r="I517" t="str">
        <f>VLOOKUP(C517,[1]Sheet!$A:$D,3,FALSE)</f>
        <v>North</v>
      </c>
      <c r="J517" t="str">
        <f>VLOOKUP(C517,[1]Sheet!$A:$D,4,FALSE)</f>
        <v>Consumer</v>
      </c>
      <c r="K517">
        <f t="shared" si="8"/>
        <v>0.18190948465256418</v>
      </c>
    </row>
    <row r="518" spans="1:11" x14ac:dyDescent="0.25">
      <c r="A518" t="s">
        <v>901</v>
      </c>
      <c r="B518" t="s">
        <v>392</v>
      </c>
      <c r="C518" t="s">
        <v>25</v>
      </c>
      <c r="D518" t="s">
        <v>15</v>
      </c>
      <c r="E518">
        <v>840.54</v>
      </c>
      <c r="F518">
        <v>6</v>
      </c>
      <c r="G518">
        <v>217.65</v>
      </c>
      <c r="H518">
        <v>0.2</v>
      </c>
      <c r="I518" t="str">
        <f>VLOOKUP(C518,[1]Sheet!$A:$D,3,FALSE)</f>
        <v>South</v>
      </c>
      <c r="J518" t="str">
        <f>VLOOKUP(C518,[1]Sheet!$A:$D,4,FALSE)</f>
        <v>Consumer</v>
      </c>
      <c r="K518">
        <f t="shared" si="8"/>
        <v>0.25894068099079165</v>
      </c>
    </row>
    <row r="519" spans="1:11" x14ac:dyDescent="0.25">
      <c r="A519" t="s">
        <v>902</v>
      </c>
      <c r="B519" t="s">
        <v>366</v>
      </c>
      <c r="C519" t="s">
        <v>251</v>
      </c>
      <c r="D519" t="s">
        <v>15</v>
      </c>
      <c r="E519">
        <v>4856.46</v>
      </c>
      <c r="F519">
        <v>7</v>
      </c>
      <c r="G519">
        <v>1102.02</v>
      </c>
      <c r="H519">
        <v>0.2</v>
      </c>
      <c r="I519" t="str">
        <f>VLOOKUP(C519,[1]Sheet!$A:$D,3,FALSE)</f>
        <v>East</v>
      </c>
      <c r="J519" t="str">
        <f>VLOOKUP(C519,[1]Sheet!$A:$D,4,FALSE)</f>
        <v>Home Office</v>
      </c>
      <c r="K519">
        <f t="shared" si="8"/>
        <v>0.22691837264180081</v>
      </c>
    </row>
    <row r="520" spans="1:11" x14ac:dyDescent="0.25">
      <c r="A520" t="s">
        <v>903</v>
      </c>
      <c r="B520" t="s">
        <v>134</v>
      </c>
      <c r="C520" t="s">
        <v>138</v>
      </c>
      <c r="D520" t="s">
        <v>22</v>
      </c>
      <c r="E520">
        <v>4831.58</v>
      </c>
      <c r="F520">
        <v>4</v>
      </c>
      <c r="G520">
        <v>1237.47</v>
      </c>
      <c r="H520">
        <v>0.15</v>
      </c>
      <c r="I520" t="str">
        <f>VLOOKUP(C520,[1]Sheet!$A:$D,3,FALSE)</f>
        <v>West</v>
      </c>
      <c r="J520" t="str">
        <f>VLOOKUP(C520,[1]Sheet!$A:$D,4,FALSE)</f>
        <v>Home Office</v>
      </c>
      <c r="K520">
        <f t="shared" si="8"/>
        <v>0.2561211860302427</v>
      </c>
    </row>
    <row r="521" spans="1:11" x14ac:dyDescent="0.25">
      <c r="A521" t="s">
        <v>904</v>
      </c>
      <c r="B521" t="s">
        <v>905</v>
      </c>
      <c r="C521" t="s">
        <v>71</v>
      </c>
      <c r="D521" t="s">
        <v>22</v>
      </c>
      <c r="E521">
        <v>486.88</v>
      </c>
      <c r="F521">
        <v>10</v>
      </c>
      <c r="G521">
        <v>156.21</v>
      </c>
      <c r="H521">
        <v>0.2</v>
      </c>
      <c r="I521" t="str">
        <f>VLOOKUP(C521,[1]Sheet!$A:$D,3,FALSE)</f>
        <v>South</v>
      </c>
      <c r="J521" t="str">
        <f>VLOOKUP(C521,[1]Sheet!$A:$D,4,FALSE)</f>
        <v>Consumer</v>
      </c>
      <c r="K521">
        <f t="shared" si="8"/>
        <v>0.32083881038448903</v>
      </c>
    </row>
    <row r="522" spans="1:11" x14ac:dyDescent="0.25">
      <c r="A522" t="s">
        <v>906</v>
      </c>
      <c r="B522" t="s">
        <v>789</v>
      </c>
      <c r="C522" t="s">
        <v>235</v>
      </c>
      <c r="D522" t="s">
        <v>11</v>
      </c>
      <c r="E522">
        <v>3419.92</v>
      </c>
      <c r="F522">
        <v>3</v>
      </c>
      <c r="G522">
        <v>807.38</v>
      </c>
      <c r="H522">
        <v>0.05</v>
      </c>
      <c r="I522" t="str">
        <f>VLOOKUP(C522,[1]Sheet!$A:$D,3,FALSE)</f>
        <v>South</v>
      </c>
      <c r="J522" t="str">
        <f>VLOOKUP(C522,[1]Sheet!$A:$D,4,FALSE)</f>
        <v>Home Office</v>
      </c>
      <c r="K522">
        <f t="shared" si="8"/>
        <v>0.23608154576715243</v>
      </c>
    </row>
    <row r="523" spans="1:11" x14ac:dyDescent="0.25">
      <c r="A523" t="s">
        <v>907</v>
      </c>
      <c r="B523" t="s">
        <v>395</v>
      </c>
      <c r="C523" t="s">
        <v>37</v>
      </c>
      <c r="D523" t="s">
        <v>15</v>
      </c>
      <c r="E523">
        <v>4061.46</v>
      </c>
      <c r="F523">
        <v>7</v>
      </c>
      <c r="G523">
        <v>356.82</v>
      </c>
      <c r="H523">
        <v>0.05</v>
      </c>
      <c r="I523" t="str">
        <f>VLOOKUP(C523,[1]Sheet!$A:$D,3,FALSE)</f>
        <v>North</v>
      </c>
      <c r="J523" t="str">
        <f>VLOOKUP(C523,[1]Sheet!$A:$D,4,FALSE)</f>
        <v>Consumer</v>
      </c>
      <c r="K523">
        <f t="shared" si="8"/>
        <v>8.7855106291826093E-2</v>
      </c>
    </row>
    <row r="524" spans="1:11" x14ac:dyDescent="0.25">
      <c r="A524" t="s">
        <v>908</v>
      </c>
      <c r="B524" t="s">
        <v>559</v>
      </c>
      <c r="C524" t="s">
        <v>10</v>
      </c>
      <c r="D524" t="s">
        <v>22</v>
      </c>
      <c r="E524">
        <v>824.6</v>
      </c>
      <c r="F524">
        <v>2</v>
      </c>
      <c r="G524">
        <v>188.43</v>
      </c>
      <c r="H524">
        <v>0</v>
      </c>
      <c r="I524" t="str">
        <f>VLOOKUP(C524,[1]Sheet!$A:$D,3,FALSE)</f>
        <v>North</v>
      </c>
      <c r="J524" t="str">
        <f>VLOOKUP(C524,[1]Sheet!$A:$D,4,FALSE)</f>
        <v>Consumer</v>
      </c>
      <c r="K524">
        <f t="shared" si="8"/>
        <v>0.2285107931118118</v>
      </c>
    </row>
    <row r="525" spans="1:11" x14ac:dyDescent="0.25">
      <c r="A525" t="s">
        <v>909</v>
      </c>
      <c r="B525" t="s">
        <v>798</v>
      </c>
      <c r="C525" t="s">
        <v>301</v>
      </c>
      <c r="D525" t="s">
        <v>22</v>
      </c>
      <c r="E525">
        <v>2826.18</v>
      </c>
      <c r="F525">
        <v>8</v>
      </c>
      <c r="G525">
        <v>609.37</v>
      </c>
      <c r="H525">
        <v>0</v>
      </c>
      <c r="I525" t="str">
        <f>VLOOKUP(C525,[1]Sheet!$A:$D,3,FALSE)</f>
        <v>West</v>
      </c>
      <c r="J525" t="str">
        <f>VLOOKUP(C525,[1]Sheet!$A:$D,4,FALSE)</f>
        <v>Consumer</v>
      </c>
      <c r="K525">
        <f t="shared" si="8"/>
        <v>0.21561613202273033</v>
      </c>
    </row>
    <row r="526" spans="1:11" x14ac:dyDescent="0.25">
      <c r="A526" t="s">
        <v>910</v>
      </c>
      <c r="B526" t="s">
        <v>885</v>
      </c>
      <c r="C526" t="s">
        <v>122</v>
      </c>
      <c r="D526" t="s">
        <v>15</v>
      </c>
      <c r="E526">
        <v>3152.98</v>
      </c>
      <c r="F526">
        <v>7</v>
      </c>
      <c r="G526">
        <v>651.94000000000005</v>
      </c>
      <c r="H526">
        <v>0.05</v>
      </c>
      <c r="I526" t="str">
        <f>VLOOKUP(C526,[1]Sheet!$A:$D,3,FALSE)</f>
        <v>West</v>
      </c>
      <c r="J526" t="str">
        <f>VLOOKUP(C526,[1]Sheet!$A:$D,4,FALSE)</f>
        <v>Consumer</v>
      </c>
      <c r="K526">
        <f t="shared" si="8"/>
        <v>0.20676946888340555</v>
      </c>
    </row>
    <row r="527" spans="1:11" x14ac:dyDescent="0.25">
      <c r="A527" t="s">
        <v>911</v>
      </c>
      <c r="B527" t="s">
        <v>303</v>
      </c>
      <c r="C527" t="s">
        <v>318</v>
      </c>
      <c r="D527" t="s">
        <v>15</v>
      </c>
      <c r="E527">
        <v>2876.31</v>
      </c>
      <c r="F527">
        <v>10</v>
      </c>
      <c r="G527">
        <v>646.6</v>
      </c>
      <c r="H527">
        <v>0</v>
      </c>
      <c r="I527" t="str">
        <f>VLOOKUP(C527,[1]Sheet!$A:$D,3,FALSE)</f>
        <v>West</v>
      </c>
      <c r="J527" t="str">
        <f>VLOOKUP(C527,[1]Sheet!$A:$D,4,FALSE)</f>
        <v>Consumer</v>
      </c>
      <c r="K527">
        <f t="shared" si="8"/>
        <v>0.22480191634420491</v>
      </c>
    </row>
    <row r="528" spans="1:11" x14ac:dyDescent="0.25">
      <c r="A528" t="s">
        <v>912</v>
      </c>
      <c r="B528" t="s">
        <v>96</v>
      </c>
      <c r="C528" t="s">
        <v>324</v>
      </c>
      <c r="D528" t="s">
        <v>11</v>
      </c>
      <c r="E528">
        <v>4350.63</v>
      </c>
      <c r="F528">
        <v>7</v>
      </c>
      <c r="G528">
        <v>1366.28</v>
      </c>
      <c r="H528">
        <v>0.15</v>
      </c>
      <c r="I528" t="str">
        <f>VLOOKUP(C528,[1]Sheet!$A:$D,3,FALSE)</f>
        <v>North</v>
      </c>
      <c r="J528" t="str">
        <f>VLOOKUP(C528,[1]Sheet!$A:$D,4,FALSE)</f>
        <v>Home Office</v>
      </c>
      <c r="K528">
        <f t="shared" si="8"/>
        <v>0.31404187439520254</v>
      </c>
    </row>
    <row r="529" spans="1:11" x14ac:dyDescent="0.25">
      <c r="A529" t="s">
        <v>913</v>
      </c>
      <c r="B529" t="s">
        <v>798</v>
      </c>
      <c r="C529" t="s">
        <v>235</v>
      </c>
      <c r="D529" t="s">
        <v>11</v>
      </c>
      <c r="E529">
        <v>3083.91</v>
      </c>
      <c r="F529">
        <v>3</v>
      </c>
      <c r="G529">
        <v>188.86</v>
      </c>
      <c r="H529">
        <v>0.2</v>
      </c>
      <c r="I529" t="str">
        <f>VLOOKUP(C529,[1]Sheet!$A:$D,3,FALSE)</f>
        <v>South</v>
      </c>
      <c r="J529" t="str">
        <f>VLOOKUP(C529,[1]Sheet!$A:$D,4,FALSE)</f>
        <v>Home Office</v>
      </c>
      <c r="K529">
        <f t="shared" si="8"/>
        <v>6.1240438274787534E-2</v>
      </c>
    </row>
    <row r="530" spans="1:11" x14ac:dyDescent="0.25">
      <c r="A530" t="s">
        <v>914</v>
      </c>
      <c r="B530" t="s">
        <v>414</v>
      </c>
      <c r="C530" t="s">
        <v>333</v>
      </c>
      <c r="D530" t="s">
        <v>11</v>
      </c>
      <c r="E530">
        <v>3435.98</v>
      </c>
      <c r="F530">
        <v>4</v>
      </c>
      <c r="G530">
        <v>585.89</v>
      </c>
      <c r="H530">
        <v>0</v>
      </c>
      <c r="I530" t="str">
        <f>VLOOKUP(C530,[1]Sheet!$A:$D,3,FALSE)</f>
        <v>East</v>
      </c>
      <c r="J530" t="str">
        <f>VLOOKUP(C530,[1]Sheet!$A:$D,4,FALSE)</f>
        <v>Consumer</v>
      </c>
      <c r="K530">
        <f t="shared" si="8"/>
        <v>0.1705161264035297</v>
      </c>
    </row>
    <row r="531" spans="1:11" x14ac:dyDescent="0.25">
      <c r="A531" t="s">
        <v>915</v>
      </c>
      <c r="B531" t="s">
        <v>451</v>
      </c>
      <c r="C531" t="s">
        <v>46</v>
      </c>
      <c r="D531" t="s">
        <v>15</v>
      </c>
      <c r="E531">
        <v>2428.5700000000002</v>
      </c>
      <c r="F531">
        <v>6</v>
      </c>
      <c r="G531">
        <v>317.11</v>
      </c>
      <c r="H531">
        <v>0.1</v>
      </c>
      <c r="I531" t="str">
        <f>VLOOKUP(C531,[1]Sheet!$A:$D,3,FALSE)</f>
        <v>North</v>
      </c>
      <c r="J531" t="str">
        <f>VLOOKUP(C531,[1]Sheet!$A:$D,4,FALSE)</f>
        <v>Corporate</v>
      </c>
      <c r="K531">
        <f t="shared" si="8"/>
        <v>0.13057478269104864</v>
      </c>
    </row>
    <row r="532" spans="1:11" x14ac:dyDescent="0.25">
      <c r="A532" t="s">
        <v>916</v>
      </c>
      <c r="B532" t="s">
        <v>137</v>
      </c>
      <c r="C532" t="s">
        <v>260</v>
      </c>
      <c r="D532" t="s">
        <v>22</v>
      </c>
      <c r="E532">
        <v>1473.7</v>
      </c>
      <c r="F532">
        <v>2</v>
      </c>
      <c r="G532">
        <v>291.02999999999997</v>
      </c>
      <c r="H532">
        <v>0.05</v>
      </c>
      <c r="I532" t="str">
        <f>VLOOKUP(C532,[1]Sheet!$A:$D,3,FALSE)</f>
        <v>West</v>
      </c>
      <c r="J532" t="str">
        <f>VLOOKUP(C532,[1]Sheet!$A:$D,4,FALSE)</f>
        <v>Corporate</v>
      </c>
      <c r="K532">
        <f t="shared" si="8"/>
        <v>0.19748252697292526</v>
      </c>
    </row>
    <row r="533" spans="1:11" x14ac:dyDescent="0.25">
      <c r="A533" t="s">
        <v>917</v>
      </c>
      <c r="B533" t="s">
        <v>126</v>
      </c>
      <c r="C533" t="s">
        <v>355</v>
      </c>
      <c r="D533" t="s">
        <v>11</v>
      </c>
      <c r="E533">
        <v>1572.35</v>
      </c>
      <c r="F533">
        <v>7</v>
      </c>
      <c r="G533">
        <v>429.44</v>
      </c>
      <c r="H533">
        <v>0.2</v>
      </c>
      <c r="I533" t="str">
        <f>VLOOKUP(C533,[1]Sheet!$A:$D,3,FALSE)</f>
        <v>North</v>
      </c>
      <c r="J533" t="str">
        <f>VLOOKUP(C533,[1]Sheet!$A:$D,4,FALSE)</f>
        <v>Consumer</v>
      </c>
      <c r="K533">
        <f t="shared" si="8"/>
        <v>0.27311985245015424</v>
      </c>
    </row>
    <row r="534" spans="1:11" x14ac:dyDescent="0.25">
      <c r="A534" t="s">
        <v>918</v>
      </c>
      <c r="B534" t="s">
        <v>17</v>
      </c>
      <c r="C534" t="s">
        <v>286</v>
      </c>
      <c r="D534" t="s">
        <v>22</v>
      </c>
      <c r="E534">
        <v>537.51</v>
      </c>
      <c r="F534">
        <v>8</v>
      </c>
      <c r="G534">
        <v>98.1</v>
      </c>
      <c r="H534">
        <v>0.2</v>
      </c>
      <c r="I534" t="str">
        <f>VLOOKUP(C534,[1]Sheet!$A:$D,3,FALSE)</f>
        <v>South</v>
      </c>
      <c r="J534" t="str">
        <f>VLOOKUP(C534,[1]Sheet!$A:$D,4,FALSE)</f>
        <v>Consumer</v>
      </c>
      <c r="K534">
        <f t="shared" si="8"/>
        <v>0.18250823240497852</v>
      </c>
    </row>
    <row r="535" spans="1:11" x14ac:dyDescent="0.25">
      <c r="A535" t="s">
        <v>919</v>
      </c>
      <c r="B535" t="s">
        <v>563</v>
      </c>
      <c r="C535" t="s">
        <v>348</v>
      </c>
      <c r="D535" t="s">
        <v>15</v>
      </c>
      <c r="E535">
        <v>4122.99</v>
      </c>
      <c r="F535">
        <v>5</v>
      </c>
      <c r="G535">
        <v>843.49</v>
      </c>
      <c r="H535">
        <v>0.2</v>
      </c>
      <c r="I535" t="str">
        <f>VLOOKUP(C535,[1]Sheet!$A:$D,3,FALSE)</f>
        <v>East</v>
      </c>
      <c r="J535" t="str">
        <f>VLOOKUP(C535,[1]Sheet!$A:$D,4,FALSE)</f>
        <v>Consumer</v>
      </c>
      <c r="K535">
        <f t="shared" si="8"/>
        <v>0.20458211152585867</v>
      </c>
    </row>
    <row r="536" spans="1:11" x14ac:dyDescent="0.25">
      <c r="A536" t="s">
        <v>920</v>
      </c>
      <c r="B536" t="s">
        <v>50</v>
      </c>
      <c r="C536" t="s">
        <v>104</v>
      </c>
      <c r="D536" t="s">
        <v>15</v>
      </c>
      <c r="E536">
        <v>764.68</v>
      </c>
      <c r="F536">
        <v>3</v>
      </c>
      <c r="G536">
        <v>233.52</v>
      </c>
      <c r="H536">
        <v>0.05</v>
      </c>
      <c r="I536" t="str">
        <f>VLOOKUP(C536,[1]Sheet!$A:$D,3,FALSE)</f>
        <v>South</v>
      </c>
      <c r="J536" t="str">
        <f>VLOOKUP(C536,[1]Sheet!$A:$D,4,FALSE)</f>
        <v>Home Office</v>
      </c>
      <c r="K536">
        <f t="shared" si="8"/>
        <v>0.30538264372024904</v>
      </c>
    </row>
    <row r="537" spans="1:11" x14ac:dyDescent="0.25">
      <c r="A537" t="s">
        <v>921</v>
      </c>
      <c r="B537" t="s">
        <v>326</v>
      </c>
      <c r="C537" t="s">
        <v>135</v>
      </c>
      <c r="D537" t="s">
        <v>15</v>
      </c>
      <c r="E537">
        <v>4201.1899999999996</v>
      </c>
      <c r="F537">
        <v>6</v>
      </c>
      <c r="G537">
        <v>524.51</v>
      </c>
      <c r="H537">
        <v>0.05</v>
      </c>
      <c r="I537" t="str">
        <f>VLOOKUP(C537,[1]Sheet!$A:$D,3,FALSE)</f>
        <v>East</v>
      </c>
      <c r="J537" t="str">
        <f>VLOOKUP(C537,[1]Sheet!$A:$D,4,FALSE)</f>
        <v>Home Office</v>
      </c>
      <c r="K537">
        <f t="shared" si="8"/>
        <v>0.124847959744739</v>
      </c>
    </row>
    <row r="538" spans="1:11" x14ac:dyDescent="0.25">
      <c r="A538" t="s">
        <v>922</v>
      </c>
      <c r="B538" t="s">
        <v>700</v>
      </c>
      <c r="C538" t="s">
        <v>176</v>
      </c>
      <c r="D538" t="s">
        <v>22</v>
      </c>
      <c r="E538">
        <v>1904.92</v>
      </c>
      <c r="F538">
        <v>2</v>
      </c>
      <c r="G538">
        <v>360.54</v>
      </c>
      <c r="H538">
        <v>0</v>
      </c>
      <c r="I538" t="str">
        <f>VLOOKUP(C538,[1]Sheet!$A:$D,3,FALSE)</f>
        <v>East</v>
      </c>
      <c r="J538" t="str">
        <f>VLOOKUP(C538,[1]Sheet!$A:$D,4,FALSE)</f>
        <v>Home Office</v>
      </c>
      <c r="K538">
        <f t="shared" si="8"/>
        <v>0.18926779077336581</v>
      </c>
    </row>
    <row r="539" spans="1:11" x14ac:dyDescent="0.25">
      <c r="A539" t="s">
        <v>923</v>
      </c>
      <c r="B539" t="s">
        <v>924</v>
      </c>
      <c r="C539" t="s">
        <v>14</v>
      </c>
      <c r="D539" t="s">
        <v>11</v>
      </c>
      <c r="E539">
        <v>1925.09</v>
      </c>
      <c r="F539">
        <v>10</v>
      </c>
      <c r="G539">
        <v>439.33</v>
      </c>
      <c r="H539">
        <v>0.2</v>
      </c>
      <c r="I539" t="str">
        <f>VLOOKUP(C539,[1]Sheet!$A:$D,3,FALSE)</f>
        <v>North</v>
      </c>
      <c r="J539" t="str">
        <f>VLOOKUP(C539,[1]Sheet!$A:$D,4,FALSE)</f>
        <v>Corporate</v>
      </c>
      <c r="K539">
        <f t="shared" si="8"/>
        <v>0.22821270693837692</v>
      </c>
    </row>
    <row r="540" spans="1:11" x14ac:dyDescent="0.25">
      <c r="A540" t="s">
        <v>925</v>
      </c>
      <c r="B540" t="s">
        <v>926</v>
      </c>
      <c r="C540" t="s">
        <v>65</v>
      </c>
      <c r="D540" t="s">
        <v>22</v>
      </c>
      <c r="E540">
        <v>1786.82</v>
      </c>
      <c r="F540">
        <v>2</v>
      </c>
      <c r="G540">
        <v>538.36</v>
      </c>
      <c r="H540">
        <v>0.1</v>
      </c>
      <c r="I540" t="str">
        <f>VLOOKUP(C540,[1]Sheet!$A:$D,3,FALSE)</f>
        <v>East</v>
      </c>
      <c r="J540" t="str">
        <f>VLOOKUP(C540,[1]Sheet!$A:$D,4,FALSE)</f>
        <v>Corporate</v>
      </c>
      <c r="K540">
        <f t="shared" si="8"/>
        <v>0.30129503811240083</v>
      </c>
    </row>
    <row r="541" spans="1:11" x14ac:dyDescent="0.25">
      <c r="A541" t="s">
        <v>927</v>
      </c>
      <c r="B541" t="s">
        <v>928</v>
      </c>
      <c r="C541" t="s">
        <v>97</v>
      </c>
      <c r="D541" t="s">
        <v>15</v>
      </c>
      <c r="E541">
        <v>1994.17</v>
      </c>
      <c r="F541">
        <v>4</v>
      </c>
      <c r="G541">
        <v>197.17</v>
      </c>
      <c r="H541">
        <v>0.05</v>
      </c>
      <c r="I541" t="str">
        <f>VLOOKUP(C541,[1]Sheet!$A:$D,3,FALSE)</f>
        <v>North</v>
      </c>
      <c r="J541" t="str">
        <f>VLOOKUP(C541,[1]Sheet!$A:$D,4,FALSE)</f>
        <v>Home Office</v>
      </c>
      <c r="K541">
        <f t="shared" si="8"/>
        <v>9.8873215422957919E-2</v>
      </c>
    </row>
    <row r="542" spans="1:11" x14ac:dyDescent="0.25">
      <c r="A542" t="s">
        <v>929</v>
      </c>
      <c r="B542" t="s">
        <v>478</v>
      </c>
      <c r="C542" t="s">
        <v>51</v>
      </c>
      <c r="D542" t="s">
        <v>15</v>
      </c>
      <c r="E542">
        <v>1112.98</v>
      </c>
      <c r="F542">
        <v>1</v>
      </c>
      <c r="G542">
        <v>273.20999999999998</v>
      </c>
      <c r="H542">
        <v>0.15</v>
      </c>
      <c r="I542" t="str">
        <f>VLOOKUP(C542,[1]Sheet!$A:$D,3,FALSE)</f>
        <v>South</v>
      </c>
      <c r="J542" t="str">
        <f>VLOOKUP(C542,[1]Sheet!$A:$D,4,FALSE)</f>
        <v>Consumer</v>
      </c>
      <c r="K542">
        <f t="shared" si="8"/>
        <v>0.24547610918435189</v>
      </c>
    </row>
    <row r="543" spans="1:11" x14ac:dyDescent="0.25">
      <c r="A543" t="s">
        <v>930</v>
      </c>
      <c r="B543" t="s">
        <v>834</v>
      </c>
      <c r="C543" t="s">
        <v>184</v>
      </c>
      <c r="D543" t="s">
        <v>15</v>
      </c>
      <c r="E543">
        <v>3272.12</v>
      </c>
      <c r="F543">
        <v>5</v>
      </c>
      <c r="G543">
        <v>753.71</v>
      </c>
      <c r="H543">
        <v>0.2</v>
      </c>
      <c r="I543" t="str">
        <f>VLOOKUP(C543,[1]Sheet!$A:$D,3,FALSE)</f>
        <v>South</v>
      </c>
      <c r="J543" t="str">
        <f>VLOOKUP(C543,[1]Sheet!$A:$D,4,FALSE)</f>
        <v>Corporate</v>
      </c>
      <c r="K543">
        <f t="shared" si="8"/>
        <v>0.23034301920467468</v>
      </c>
    </row>
    <row r="544" spans="1:11" x14ac:dyDescent="0.25">
      <c r="A544" t="s">
        <v>931</v>
      </c>
      <c r="B544" t="s">
        <v>330</v>
      </c>
      <c r="C544" t="s">
        <v>260</v>
      </c>
      <c r="D544" t="s">
        <v>11</v>
      </c>
      <c r="E544">
        <v>3592.43</v>
      </c>
      <c r="F544">
        <v>7</v>
      </c>
      <c r="G544">
        <v>944.13</v>
      </c>
      <c r="H544">
        <v>0.1</v>
      </c>
      <c r="I544" t="str">
        <f>VLOOKUP(C544,[1]Sheet!$A:$D,3,FALSE)</f>
        <v>West</v>
      </c>
      <c r="J544" t="str">
        <f>VLOOKUP(C544,[1]Sheet!$A:$D,4,FALSE)</f>
        <v>Corporate</v>
      </c>
      <c r="K544">
        <f t="shared" si="8"/>
        <v>0.26281096639322132</v>
      </c>
    </row>
    <row r="545" spans="1:11" x14ac:dyDescent="0.25">
      <c r="A545" t="s">
        <v>932</v>
      </c>
      <c r="B545" t="s">
        <v>189</v>
      </c>
      <c r="C545" t="s">
        <v>102</v>
      </c>
      <c r="D545" t="s">
        <v>22</v>
      </c>
      <c r="E545">
        <v>1334.79</v>
      </c>
      <c r="F545">
        <v>10</v>
      </c>
      <c r="G545">
        <v>253.62</v>
      </c>
      <c r="H545">
        <v>0.15</v>
      </c>
      <c r="I545" t="str">
        <f>VLOOKUP(C545,[1]Sheet!$A:$D,3,FALSE)</f>
        <v>South</v>
      </c>
      <c r="J545" t="str">
        <f>VLOOKUP(C545,[1]Sheet!$A:$D,4,FALSE)</f>
        <v>Home Office</v>
      </c>
      <c r="K545">
        <f t="shared" si="8"/>
        <v>0.19000741689703998</v>
      </c>
    </row>
    <row r="546" spans="1:11" x14ac:dyDescent="0.25">
      <c r="A546" t="s">
        <v>933</v>
      </c>
      <c r="B546" t="s">
        <v>217</v>
      </c>
      <c r="C546" t="s">
        <v>88</v>
      </c>
      <c r="D546" t="s">
        <v>11</v>
      </c>
      <c r="E546">
        <v>601.33000000000004</v>
      </c>
      <c r="F546">
        <v>9</v>
      </c>
      <c r="G546">
        <v>122.34</v>
      </c>
      <c r="H546">
        <v>0.2</v>
      </c>
      <c r="I546" t="str">
        <f>VLOOKUP(C546,[1]Sheet!$A:$D,3,FALSE)</f>
        <v>North</v>
      </c>
      <c r="J546" t="str">
        <f>VLOOKUP(C546,[1]Sheet!$A:$D,4,FALSE)</f>
        <v>Home Office</v>
      </c>
      <c r="K546">
        <f t="shared" si="8"/>
        <v>0.20344902133603843</v>
      </c>
    </row>
    <row r="547" spans="1:11" x14ac:dyDescent="0.25">
      <c r="A547" t="s">
        <v>934</v>
      </c>
      <c r="B547" t="s">
        <v>343</v>
      </c>
      <c r="C547" t="s">
        <v>333</v>
      </c>
      <c r="D547" t="s">
        <v>15</v>
      </c>
      <c r="E547">
        <v>1485.12</v>
      </c>
      <c r="F547">
        <v>6</v>
      </c>
      <c r="G547">
        <v>379.19</v>
      </c>
      <c r="H547">
        <v>0.1</v>
      </c>
      <c r="I547" t="str">
        <f>VLOOKUP(C547,[1]Sheet!$A:$D,3,FALSE)</f>
        <v>East</v>
      </c>
      <c r="J547" t="str">
        <f>VLOOKUP(C547,[1]Sheet!$A:$D,4,FALSE)</f>
        <v>Consumer</v>
      </c>
      <c r="K547">
        <f t="shared" si="8"/>
        <v>0.25532616892911014</v>
      </c>
    </row>
    <row r="548" spans="1:11" x14ac:dyDescent="0.25">
      <c r="A548" t="s">
        <v>935</v>
      </c>
      <c r="B548" t="s">
        <v>305</v>
      </c>
      <c r="C548" t="s">
        <v>79</v>
      </c>
      <c r="D548" t="s">
        <v>22</v>
      </c>
      <c r="E548">
        <v>1693.17</v>
      </c>
      <c r="F548">
        <v>5</v>
      </c>
      <c r="G548">
        <v>225.3</v>
      </c>
      <c r="H548">
        <v>0.05</v>
      </c>
      <c r="I548" t="str">
        <f>VLOOKUP(C548,[1]Sheet!$A:$D,3,FALSE)</f>
        <v>East</v>
      </c>
      <c r="J548" t="str">
        <f>VLOOKUP(C548,[1]Sheet!$A:$D,4,FALSE)</f>
        <v>Corporate</v>
      </c>
      <c r="K548">
        <f t="shared" si="8"/>
        <v>0.13306401601729301</v>
      </c>
    </row>
    <row r="549" spans="1:11" x14ac:dyDescent="0.25">
      <c r="A549" t="s">
        <v>936</v>
      </c>
      <c r="B549" t="s">
        <v>42</v>
      </c>
      <c r="C549" t="s">
        <v>43</v>
      </c>
      <c r="D549" t="s">
        <v>22</v>
      </c>
      <c r="E549">
        <v>2634.74</v>
      </c>
      <c r="F549">
        <v>7</v>
      </c>
      <c r="G549">
        <v>321.68</v>
      </c>
      <c r="H549">
        <v>0.1</v>
      </c>
      <c r="I549" t="str">
        <f>VLOOKUP(C549,[1]Sheet!$A:$D,3,FALSE)</f>
        <v>East</v>
      </c>
      <c r="J549" t="str">
        <f>VLOOKUP(C549,[1]Sheet!$A:$D,4,FALSE)</f>
        <v>Corporate</v>
      </c>
      <c r="K549">
        <f t="shared" si="8"/>
        <v>0.12209174339783053</v>
      </c>
    </row>
    <row r="550" spans="1:11" x14ac:dyDescent="0.25">
      <c r="A550" t="s">
        <v>937</v>
      </c>
      <c r="B550" t="s">
        <v>938</v>
      </c>
      <c r="C550" t="s">
        <v>76</v>
      </c>
      <c r="D550" t="s">
        <v>11</v>
      </c>
      <c r="E550">
        <v>785.65</v>
      </c>
      <c r="F550">
        <v>5</v>
      </c>
      <c r="G550">
        <v>45.28</v>
      </c>
      <c r="H550">
        <v>0.15</v>
      </c>
      <c r="I550" t="str">
        <f>VLOOKUP(C550,[1]Sheet!$A:$D,3,FALSE)</f>
        <v>West</v>
      </c>
      <c r="J550" t="str">
        <f>VLOOKUP(C550,[1]Sheet!$A:$D,4,FALSE)</f>
        <v>Home Office</v>
      </c>
      <c r="K550">
        <f t="shared" si="8"/>
        <v>5.763380640234201E-2</v>
      </c>
    </row>
    <row r="551" spans="1:11" x14ac:dyDescent="0.25">
      <c r="A551" t="s">
        <v>939</v>
      </c>
      <c r="B551" t="s">
        <v>654</v>
      </c>
      <c r="C551" t="s">
        <v>104</v>
      </c>
      <c r="D551" t="s">
        <v>22</v>
      </c>
      <c r="E551">
        <v>2002.55</v>
      </c>
      <c r="F551">
        <v>4</v>
      </c>
      <c r="G551">
        <v>121.35</v>
      </c>
      <c r="H551">
        <v>0.1</v>
      </c>
      <c r="I551" t="str">
        <f>VLOOKUP(C551,[1]Sheet!$A:$D,3,FALSE)</f>
        <v>South</v>
      </c>
      <c r="J551" t="str">
        <f>VLOOKUP(C551,[1]Sheet!$A:$D,4,FALSE)</f>
        <v>Home Office</v>
      </c>
      <c r="K551">
        <f t="shared" si="8"/>
        <v>6.0597737884197644E-2</v>
      </c>
    </row>
    <row r="552" spans="1:11" x14ac:dyDescent="0.25">
      <c r="A552" t="s">
        <v>940</v>
      </c>
      <c r="B552" t="s">
        <v>150</v>
      </c>
      <c r="C552" t="s">
        <v>119</v>
      </c>
      <c r="D552" t="s">
        <v>11</v>
      </c>
      <c r="E552">
        <v>3595.51</v>
      </c>
      <c r="F552">
        <v>6</v>
      </c>
      <c r="G552">
        <v>920.07</v>
      </c>
      <c r="H552">
        <v>0.2</v>
      </c>
      <c r="I552" t="str">
        <f>VLOOKUP(C552,[1]Sheet!$A:$D,3,FALSE)</f>
        <v>East</v>
      </c>
      <c r="J552" t="str">
        <f>VLOOKUP(C552,[1]Sheet!$A:$D,4,FALSE)</f>
        <v>Corporate</v>
      </c>
      <c r="K552">
        <f t="shared" si="8"/>
        <v>0.2558941568789963</v>
      </c>
    </row>
    <row r="553" spans="1:11" x14ac:dyDescent="0.25">
      <c r="A553" t="s">
        <v>941</v>
      </c>
      <c r="B553" t="s">
        <v>595</v>
      </c>
      <c r="C553" t="s">
        <v>71</v>
      </c>
      <c r="D553" t="s">
        <v>15</v>
      </c>
      <c r="E553">
        <v>4242.55</v>
      </c>
      <c r="F553">
        <v>5</v>
      </c>
      <c r="G553">
        <v>1282.06</v>
      </c>
      <c r="H553">
        <v>0</v>
      </c>
      <c r="I553" t="str">
        <f>VLOOKUP(C553,[1]Sheet!$A:$D,3,FALSE)</f>
        <v>South</v>
      </c>
      <c r="J553" t="str">
        <f>VLOOKUP(C553,[1]Sheet!$A:$D,4,FALSE)</f>
        <v>Consumer</v>
      </c>
      <c r="K553">
        <f t="shared" si="8"/>
        <v>0.30219089934119808</v>
      </c>
    </row>
    <row r="554" spans="1:11" x14ac:dyDescent="0.25">
      <c r="A554" t="s">
        <v>942</v>
      </c>
      <c r="B554" t="s">
        <v>459</v>
      </c>
      <c r="C554" t="s">
        <v>18</v>
      </c>
      <c r="D554" t="s">
        <v>15</v>
      </c>
      <c r="E554">
        <v>726.93</v>
      </c>
      <c r="F554">
        <v>6</v>
      </c>
      <c r="G554">
        <v>92.75</v>
      </c>
      <c r="H554">
        <v>0</v>
      </c>
      <c r="I554" t="str">
        <f>VLOOKUP(C554,[1]Sheet!$A:$D,3,FALSE)</f>
        <v>West</v>
      </c>
      <c r="J554" t="str">
        <f>VLOOKUP(C554,[1]Sheet!$A:$D,4,FALSE)</f>
        <v>Home Office</v>
      </c>
      <c r="K554">
        <f t="shared" si="8"/>
        <v>0.12759137743661703</v>
      </c>
    </row>
    <row r="555" spans="1:11" x14ac:dyDescent="0.25">
      <c r="A555" t="s">
        <v>943</v>
      </c>
      <c r="B555" t="s">
        <v>707</v>
      </c>
      <c r="C555" t="s">
        <v>218</v>
      </c>
      <c r="D555" t="s">
        <v>11</v>
      </c>
      <c r="E555">
        <v>1840.89</v>
      </c>
      <c r="F555">
        <v>6</v>
      </c>
      <c r="G555">
        <v>503.05</v>
      </c>
      <c r="H555">
        <v>0.1</v>
      </c>
      <c r="I555" t="str">
        <f>VLOOKUP(C555,[1]Sheet!$A:$D,3,FALSE)</f>
        <v>South</v>
      </c>
      <c r="J555" t="str">
        <f>VLOOKUP(C555,[1]Sheet!$A:$D,4,FALSE)</f>
        <v>Corporate</v>
      </c>
      <c r="K555">
        <f t="shared" si="8"/>
        <v>0.27326456224978135</v>
      </c>
    </row>
    <row r="556" spans="1:11" x14ac:dyDescent="0.25">
      <c r="A556" t="s">
        <v>944</v>
      </c>
      <c r="B556" t="s">
        <v>749</v>
      </c>
      <c r="C556" t="s">
        <v>40</v>
      </c>
      <c r="D556" t="s">
        <v>11</v>
      </c>
      <c r="E556">
        <v>2969.3</v>
      </c>
      <c r="F556">
        <v>1</v>
      </c>
      <c r="G556">
        <v>561.58000000000004</v>
      </c>
      <c r="H556">
        <v>0.2</v>
      </c>
      <c r="I556" t="str">
        <f>VLOOKUP(C556,[1]Sheet!$A:$D,3,FALSE)</f>
        <v>East</v>
      </c>
      <c r="J556" t="str">
        <f>VLOOKUP(C556,[1]Sheet!$A:$D,4,FALSE)</f>
        <v>Corporate</v>
      </c>
      <c r="K556">
        <f t="shared" si="8"/>
        <v>0.18912875088404674</v>
      </c>
    </row>
    <row r="557" spans="1:11" x14ac:dyDescent="0.25">
      <c r="A557" t="s">
        <v>945</v>
      </c>
      <c r="B557" t="s">
        <v>229</v>
      </c>
      <c r="C557" t="s">
        <v>88</v>
      </c>
      <c r="D557" t="s">
        <v>22</v>
      </c>
      <c r="E557">
        <v>4727.07</v>
      </c>
      <c r="F557">
        <v>2</v>
      </c>
      <c r="G557">
        <v>337.35</v>
      </c>
      <c r="H557">
        <v>0.15</v>
      </c>
      <c r="I557" t="str">
        <f>VLOOKUP(C557,[1]Sheet!$A:$D,3,FALSE)</f>
        <v>North</v>
      </c>
      <c r="J557" t="str">
        <f>VLOOKUP(C557,[1]Sheet!$A:$D,4,FALSE)</f>
        <v>Home Office</v>
      </c>
      <c r="K557">
        <f t="shared" si="8"/>
        <v>7.1365560484613094E-2</v>
      </c>
    </row>
    <row r="558" spans="1:11" x14ac:dyDescent="0.25">
      <c r="A558" t="s">
        <v>946</v>
      </c>
      <c r="B558" t="s">
        <v>154</v>
      </c>
      <c r="C558" t="s">
        <v>415</v>
      </c>
      <c r="D558" t="s">
        <v>15</v>
      </c>
      <c r="E558">
        <v>1561.94</v>
      </c>
      <c r="F558">
        <v>4</v>
      </c>
      <c r="G558">
        <v>103.43</v>
      </c>
      <c r="H558">
        <v>0.1</v>
      </c>
      <c r="I558" t="str">
        <f>VLOOKUP(C558,[1]Sheet!$A:$D,3,FALSE)</f>
        <v>East</v>
      </c>
      <c r="J558" t="str">
        <f>VLOOKUP(C558,[1]Sheet!$A:$D,4,FALSE)</f>
        <v>Home Office</v>
      </c>
      <c r="K558">
        <f t="shared" si="8"/>
        <v>6.621893286553901E-2</v>
      </c>
    </row>
    <row r="559" spans="1:11" x14ac:dyDescent="0.25">
      <c r="A559" t="s">
        <v>947</v>
      </c>
      <c r="B559" t="s">
        <v>506</v>
      </c>
      <c r="C559" t="s">
        <v>251</v>
      </c>
      <c r="D559" t="s">
        <v>15</v>
      </c>
      <c r="E559">
        <v>4937.24</v>
      </c>
      <c r="F559">
        <v>6</v>
      </c>
      <c r="G559">
        <v>1569.32</v>
      </c>
      <c r="H559">
        <v>0.05</v>
      </c>
      <c r="I559" t="str">
        <f>VLOOKUP(C559,[1]Sheet!$A:$D,3,FALSE)</f>
        <v>East</v>
      </c>
      <c r="J559" t="str">
        <f>VLOOKUP(C559,[1]Sheet!$A:$D,4,FALSE)</f>
        <v>Home Office</v>
      </c>
      <c r="K559">
        <f t="shared" si="8"/>
        <v>0.31785369963785437</v>
      </c>
    </row>
    <row r="560" spans="1:11" x14ac:dyDescent="0.25">
      <c r="A560" t="s">
        <v>948</v>
      </c>
      <c r="B560" t="s">
        <v>924</v>
      </c>
      <c r="C560" t="s">
        <v>453</v>
      </c>
      <c r="D560" t="s">
        <v>11</v>
      </c>
      <c r="E560">
        <v>495.98</v>
      </c>
      <c r="F560">
        <v>1</v>
      </c>
      <c r="G560">
        <v>74.290000000000006</v>
      </c>
      <c r="H560">
        <v>0</v>
      </c>
      <c r="I560" t="str">
        <f>VLOOKUP(C560,[1]Sheet!$A:$D,3,FALSE)</f>
        <v>North</v>
      </c>
      <c r="J560" t="str">
        <f>VLOOKUP(C560,[1]Sheet!$A:$D,4,FALSE)</f>
        <v>Home Office</v>
      </c>
      <c r="K560">
        <f t="shared" si="8"/>
        <v>0.14978426549457641</v>
      </c>
    </row>
    <row r="561" spans="1:11" x14ac:dyDescent="0.25">
      <c r="A561" t="s">
        <v>949</v>
      </c>
      <c r="B561" t="s">
        <v>129</v>
      </c>
      <c r="C561" t="s">
        <v>151</v>
      </c>
      <c r="D561" t="s">
        <v>22</v>
      </c>
      <c r="E561">
        <v>1440.29</v>
      </c>
      <c r="F561">
        <v>3</v>
      </c>
      <c r="G561">
        <v>400.92</v>
      </c>
      <c r="H561">
        <v>0.15</v>
      </c>
      <c r="I561" t="str">
        <f>VLOOKUP(C561,[1]Sheet!$A:$D,3,FALSE)</f>
        <v>North</v>
      </c>
      <c r="J561" t="str">
        <f>VLOOKUP(C561,[1]Sheet!$A:$D,4,FALSE)</f>
        <v>Consumer</v>
      </c>
      <c r="K561">
        <f t="shared" si="8"/>
        <v>0.27836060793312462</v>
      </c>
    </row>
    <row r="562" spans="1:11" x14ac:dyDescent="0.25">
      <c r="A562" t="s">
        <v>950</v>
      </c>
      <c r="B562" t="s">
        <v>951</v>
      </c>
      <c r="C562" t="s">
        <v>227</v>
      </c>
      <c r="D562" t="s">
        <v>22</v>
      </c>
      <c r="E562">
        <v>3920.79</v>
      </c>
      <c r="F562">
        <v>7</v>
      </c>
      <c r="G562">
        <v>348.25</v>
      </c>
      <c r="H562">
        <v>0.15</v>
      </c>
      <c r="I562" t="str">
        <f>VLOOKUP(C562,[1]Sheet!$A:$D,3,FALSE)</f>
        <v>South</v>
      </c>
      <c r="J562" t="str">
        <f>VLOOKUP(C562,[1]Sheet!$A:$D,4,FALSE)</f>
        <v>Home Office</v>
      </c>
      <c r="K562">
        <f t="shared" si="8"/>
        <v>8.882138548608827E-2</v>
      </c>
    </row>
    <row r="563" spans="1:11" x14ac:dyDescent="0.25">
      <c r="A563" t="s">
        <v>952</v>
      </c>
      <c r="B563" t="s">
        <v>99</v>
      </c>
      <c r="C563" t="s">
        <v>390</v>
      </c>
      <c r="D563" t="s">
        <v>22</v>
      </c>
      <c r="E563">
        <v>4830.1099999999997</v>
      </c>
      <c r="F563">
        <v>4</v>
      </c>
      <c r="G563">
        <v>796.94</v>
      </c>
      <c r="H563">
        <v>0.1</v>
      </c>
      <c r="I563" t="str">
        <f>VLOOKUP(C563,[1]Sheet!$A:$D,3,FALSE)</f>
        <v>West</v>
      </c>
      <c r="J563" t="str">
        <f>VLOOKUP(C563,[1]Sheet!$A:$D,4,FALSE)</f>
        <v>Corporate</v>
      </c>
      <c r="K563">
        <f t="shared" si="8"/>
        <v>0.16499417197537947</v>
      </c>
    </row>
    <row r="564" spans="1:11" x14ac:dyDescent="0.25">
      <c r="A564" t="s">
        <v>953</v>
      </c>
      <c r="B564" t="s">
        <v>656</v>
      </c>
      <c r="C564" t="s">
        <v>372</v>
      </c>
      <c r="D564" t="s">
        <v>15</v>
      </c>
      <c r="E564">
        <v>4470.83</v>
      </c>
      <c r="F564">
        <v>1</v>
      </c>
      <c r="G564">
        <v>1238.6600000000001</v>
      </c>
      <c r="H564">
        <v>0</v>
      </c>
      <c r="I564" t="str">
        <f>VLOOKUP(C564,[1]Sheet!$A:$D,3,FALSE)</f>
        <v>East</v>
      </c>
      <c r="J564" t="str">
        <f>VLOOKUP(C564,[1]Sheet!$A:$D,4,FALSE)</f>
        <v>Consumer</v>
      </c>
      <c r="K564">
        <f t="shared" si="8"/>
        <v>0.27705370143798802</v>
      </c>
    </row>
    <row r="565" spans="1:11" x14ac:dyDescent="0.25">
      <c r="A565" t="s">
        <v>954</v>
      </c>
      <c r="B565" t="s">
        <v>955</v>
      </c>
      <c r="C565" t="s">
        <v>10</v>
      </c>
      <c r="D565" t="s">
        <v>11</v>
      </c>
      <c r="E565">
        <v>3694.66</v>
      </c>
      <c r="F565">
        <v>3</v>
      </c>
      <c r="G565">
        <v>435.53</v>
      </c>
      <c r="H565">
        <v>0</v>
      </c>
      <c r="I565" t="str">
        <f>VLOOKUP(C565,[1]Sheet!$A:$D,3,FALSE)</f>
        <v>North</v>
      </c>
      <c r="J565" t="str">
        <f>VLOOKUP(C565,[1]Sheet!$A:$D,4,FALSE)</f>
        <v>Consumer</v>
      </c>
      <c r="K565">
        <f t="shared" si="8"/>
        <v>0.11788094168340253</v>
      </c>
    </row>
    <row r="566" spans="1:11" x14ac:dyDescent="0.25">
      <c r="A566" t="s">
        <v>956</v>
      </c>
      <c r="B566" t="s">
        <v>957</v>
      </c>
      <c r="C566" t="s">
        <v>301</v>
      </c>
      <c r="D566" t="s">
        <v>15</v>
      </c>
      <c r="E566">
        <v>2566.35</v>
      </c>
      <c r="F566">
        <v>5</v>
      </c>
      <c r="G566">
        <v>364</v>
      </c>
      <c r="H566">
        <v>0.1</v>
      </c>
      <c r="I566" t="str">
        <f>VLOOKUP(C566,[1]Sheet!$A:$D,3,FALSE)</f>
        <v>West</v>
      </c>
      <c r="J566" t="str">
        <f>VLOOKUP(C566,[1]Sheet!$A:$D,4,FALSE)</f>
        <v>Consumer</v>
      </c>
      <c r="K566">
        <f t="shared" si="8"/>
        <v>0.14183568102558108</v>
      </c>
    </row>
    <row r="567" spans="1:11" x14ac:dyDescent="0.25">
      <c r="A567" t="s">
        <v>958</v>
      </c>
      <c r="B567" t="s">
        <v>580</v>
      </c>
      <c r="C567" t="s">
        <v>102</v>
      </c>
      <c r="D567" t="s">
        <v>11</v>
      </c>
      <c r="E567">
        <v>3666.38</v>
      </c>
      <c r="F567">
        <v>3</v>
      </c>
      <c r="G567">
        <v>839.27</v>
      </c>
      <c r="H567">
        <v>0.1</v>
      </c>
      <c r="I567" t="str">
        <f>VLOOKUP(C567,[1]Sheet!$A:$D,3,FALSE)</f>
        <v>South</v>
      </c>
      <c r="J567" t="str">
        <f>VLOOKUP(C567,[1]Sheet!$A:$D,4,FALSE)</f>
        <v>Home Office</v>
      </c>
      <c r="K567">
        <f t="shared" si="8"/>
        <v>0.22890971475951755</v>
      </c>
    </row>
    <row r="568" spans="1:11" x14ac:dyDescent="0.25">
      <c r="A568" t="s">
        <v>959</v>
      </c>
      <c r="B568" t="s">
        <v>277</v>
      </c>
      <c r="C568" t="s">
        <v>382</v>
      </c>
      <c r="D568" t="s">
        <v>15</v>
      </c>
      <c r="E568">
        <v>1860.33</v>
      </c>
      <c r="F568">
        <v>4</v>
      </c>
      <c r="G568">
        <v>198.18</v>
      </c>
      <c r="H568">
        <v>0.05</v>
      </c>
      <c r="I568" t="str">
        <f>VLOOKUP(C568,[1]Sheet!$A:$D,3,FALSE)</f>
        <v>West</v>
      </c>
      <c r="J568" t="str">
        <f>VLOOKUP(C568,[1]Sheet!$A:$D,4,FALSE)</f>
        <v>Home Office</v>
      </c>
      <c r="K568">
        <f t="shared" si="8"/>
        <v>0.10652948670397189</v>
      </c>
    </row>
    <row r="569" spans="1:11" x14ac:dyDescent="0.25">
      <c r="A569" t="s">
        <v>960</v>
      </c>
      <c r="B569" t="s">
        <v>851</v>
      </c>
      <c r="C569" t="s">
        <v>110</v>
      </c>
      <c r="D569" t="s">
        <v>22</v>
      </c>
      <c r="E569">
        <v>4925.91</v>
      </c>
      <c r="F569">
        <v>9</v>
      </c>
      <c r="G569">
        <v>558.39</v>
      </c>
      <c r="H569">
        <v>0.05</v>
      </c>
      <c r="I569" t="str">
        <f>VLOOKUP(C569,[1]Sheet!$A:$D,3,FALSE)</f>
        <v>West</v>
      </c>
      <c r="J569" t="str">
        <f>VLOOKUP(C569,[1]Sheet!$A:$D,4,FALSE)</f>
        <v>Consumer</v>
      </c>
      <c r="K569">
        <f t="shared" si="8"/>
        <v>0.11335773491598507</v>
      </c>
    </row>
    <row r="570" spans="1:11" x14ac:dyDescent="0.25">
      <c r="A570" t="s">
        <v>961</v>
      </c>
      <c r="B570" t="s">
        <v>99</v>
      </c>
      <c r="C570" t="s">
        <v>193</v>
      </c>
      <c r="D570" t="s">
        <v>11</v>
      </c>
      <c r="E570">
        <v>1896.3</v>
      </c>
      <c r="F570">
        <v>5</v>
      </c>
      <c r="G570">
        <v>464.9</v>
      </c>
      <c r="H570">
        <v>0.2</v>
      </c>
      <c r="I570" t="str">
        <f>VLOOKUP(C570,[1]Sheet!$A:$D,3,FALSE)</f>
        <v>East</v>
      </c>
      <c r="J570" t="str">
        <f>VLOOKUP(C570,[1]Sheet!$A:$D,4,FALSE)</f>
        <v>Consumer</v>
      </c>
      <c r="K570">
        <f t="shared" si="8"/>
        <v>0.24516163054369033</v>
      </c>
    </row>
    <row r="571" spans="1:11" x14ac:dyDescent="0.25">
      <c r="A571" t="s">
        <v>962</v>
      </c>
      <c r="B571" t="s">
        <v>637</v>
      </c>
      <c r="C571" t="s">
        <v>94</v>
      </c>
      <c r="D571" t="s">
        <v>15</v>
      </c>
      <c r="E571">
        <v>338.08</v>
      </c>
      <c r="F571">
        <v>1</v>
      </c>
      <c r="G571">
        <v>117.79</v>
      </c>
      <c r="H571">
        <v>0</v>
      </c>
      <c r="I571" t="str">
        <f>VLOOKUP(C571,[1]Sheet!$A:$D,3,FALSE)</f>
        <v>East</v>
      </c>
      <c r="J571" t="str">
        <f>VLOOKUP(C571,[1]Sheet!$A:$D,4,FALSE)</f>
        <v>Corporate</v>
      </c>
      <c r="K571">
        <f t="shared" si="8"/>
        <v>0.3484086606720303</v>
      </c>
    </row>
    <row r="572" spans="1:11" x14ac:dyDescent="0.25">
      <c r="A572" t="s">
        <v>963</v>
      </c>
      <c r="B572" t="s">
        <v>796</v>
      </c>
      <c r="C572" t="s">
        <v>215</v>
      </c>
      <c r="D572" t="s">
        <v>22</v>
      </c>
      <c r="E572">
        <v>667.37</v>
      </c>
      <c r="F572">
        <v>5</v>
      </c>
      <c r="G572">
        <v>122.33</v>
      </c>
      <c r="H572">
        <v>0.15</v>
      </c>
      <c r="I572" t="str">
        <f>VLOOKUP(C572,[1]Sheet!$A:$D,3,FALSE)</f>
        <v>South</v>
      </c>
      <c r="J572" t="str">
        <f>VLOOKUP(C572,[1]Sheet!$A:$D,4,FALSE)</f>
        <v>Corporate</v>
      </c>
      <c r="K572">
        <f t="shared" si="8"/>
        <v>0.18330161679428203</v>
      </c>
    </row>
    <row r="573" spans="1:11" x14ac:dyDescent="0.25">
      <c r="A573" t="s">
        <v>964</v>
      </c>
      <c r="B573" t="s">
        <v>849</v>
      </c>
      <c r="C573" t="s">
        <v>122</v>
      </c>
      <c r="D573" t="s">
        <v>15</v>
      </c>
      <c r="E573">
        <v>850.32</v>
      </c>
      <c r="F573">
        <v>5</v>
      </c>
      <c r="G573">
        <v>219.86</v>
      </c>
      <c r="H573">
        <v>0.15</v>
      </c>
      <c r="I573" t="str">
        <f>VLOOKUP(C573,[1]Sheet!$A:$D,3,FALSE)</f>
        <v>West</v>
      </c>
      <c r="J573" t="str">
        <f>VLOOKUP(C573,[1]Sheet!$A:$D,4,FALSE)</f>
        <v>Consumer</v>
      </c>
      <c r="K573">
        <f t="shared" si="8"/>
        <v>0.25856148273591117</v>
      </c>
    </row>
    <row r="574" spans="1:11" x14ac:dyDescent="0.25">
      <c r="A574" t="s">
        <v>965</v>
      </c>
      <c r="B574" t="s">
        <v>489</v>
      </c>
      <c r="C574" t="s">
        <v>21</v>
      </c>
      <c r="D574" t="s">
        <v>22</v>
      </c>
      <c r="E574">
        <v>594.79999999999995</v>
      </c>
      <c r="F574">
        <v>3</v>
      </c>
      <c r="G574">
        <v>122.58</v>
      </c>
      <c r="H574">
        <v>0.15</v>
      </c>
      <c r="I574" t="str">
        <f>VLOOKUP(C574,[1]Sheet!$A:$D,3,FALSE)</f>
        <v>North</v>
      </c>
      <c r="J574" t="str">
        <f>VLOOKUP(C574,[1]Sheet!$A:$D,4,FALSE)</f>
        <v>Consumer</v>
      </c>
      <c r="K574">
        <f t="shared" si="8"/>
        <v>0.20608607935440484</v>
      </c>
    </row>
    <row r="575" spans="1:11" x14ac:dyDescent="0.25">
      <c r="A575" t="s">
        <v>966</v>
      </c>
      <c r="B575" t="s">
        <v>665</v>
      </c>
      <c r="C575" t="s">
        <v>198</v>
      </c>
      <c r="D575" t="s">
        <v>15</v>
      </c>
      <c r="E575">
        <v>2606.77</v>
      </c>
      <c r="F575">
        <v>2</v>
      </c>
      <c r="G575">
        <v>613.4</v>
      </c>
      <c r="H575">
        <v>0.15</v>
      </c>
      <c r="I575" t="str">
        <f>VLOOKUP(C575,[1]Sheet!$A:$D,3,FALSE)</f>
        <v>South</v>
      </c>
      <c r="J575" t="str">
        <f>VLOOKUP(C575,[1]Sheet!$A:$D,4,FALSE)</f>
        <v>Home Office</v>
      </c>
      <c r="K575">
        <f t="shared" si="8"/>
        <v>0.2353103649343824</v>
      </c>
    </row>
    <row r="576" spans="1:11" x14ac:dyDescent="0.25">
      <c r="A576" t="s">
        <v>967</v>
      </c>
      <c r="B576" t="s">
        <v>968</v>
      </c>
      <c r="C576" t="s">
        <v>135</v>
      </c>
      <c r="D576" t="s">
        <v>15</v>
      </c>
      <c r="E576">
        <v>3084.11</v>
      </c>
      <c r="F576">
        <v>6</v>
      </c>
      <c r="G576">
        <v>874</v>
      </c>
      <c r="H576">
        <v>0.15</v>
      </c>
      <c r="I576" t="str">
        <f>VLOOKUP(C576,[1]Sheet!$A:$D,3,FALSE)</f>
        <v>East</v>
      </c>
      <c r="J576" t="str">
        <f>VLOOKUP(C576,[1]Sheet!$A:$D,4,FALSE)</f>
        <v>Home Office</v>
      </c>
      <c r="K576">
        <f t="shared" si="8"/>
        <v>0.28338807630078044</v>
      </c>
    </row>
    <row r="577" spans="1:11" x14ac:dyDescent="0.25">
      <c r="A577" t="s">
        <v>969</v>
      </c>
      <c r="B577" t="s">
        <v>694</v>
      </c>
      <c r="C577" t="s">
        <v>495</v>
      </c>
      <c r="D577" t="s">
        <v>22</v>
      </c>
      <c r="E577">
        <v>885.83</v>
      </c>
      <c r="F577">
        <v>8</v>
      </c>
      <c r="G577">
        <v>189.96</v>
      </c>
      <c r="H577">
        <v>0.1</v>
      </c>
      <c r="I577" t="str">
        <f>VLOOKUP(C577,[1]Sheet!$A:$D,3,FALSE)</f>
        <v>South</v>
      </c>
      <c r="J577" t="str">
        <f>VLOOKUP(C577,[1]Sheet!$A:$D,4,FALSE)</f>
        <v>Home Office</v>
      </c>
      <c r="K577">
        <f t="shared" si="8"/>
        <v>0.21444295180790895</v>
      </c>
    </row>
    <row r="578" spans="1:11" x14ac:dyDescent="0.25">
      <c r="A578" t="s">
        <v>970</v>
      </c>
      <c r="B578" t="s">
        <v>370</v>
      </c>
      <c r="C578" t="s">
        <v>14</v>
      </c>
      <c r="D578" t="s">
        <v>22</v>
      </c>
      <c r="E578">
        <v>113.42</v>
      </c>
      <c r="F578">
        <v>8</v>
      </c>
      <c r="G578">
        <v>28.52</v>
      </c>
      <c r="H578">
        <v>0.05</v>
      </c>
      <c r="I578" t="str">
        <f>VLOOKUP(C578,[1]Sheet!$A:$D,3,FALSE)</f>
        <v>North</v>
      </c>
      <c r="J578" t="str">
        <f>VLOOKUP(C578,[1]Sheet!$A:$D,4,FALSE)</f>
        <v>Corporate</v>
      </c>
      <c r="K578">
        <f t="shared" si="8"/>
        <v>0.25145476988185506</v>
      </c>
    </row>
    <row r="579" spans="1:11" x14ac:dyDescent="0.25">
      <c r="A579" t="s">
        <v>971</v>
      </c>
      <c r="B579" t="s">
        <v>303</v>
      </c>
      <c r="C579" t="s">
        <v>34</v>
      </c>
      <c r="D579" t="s">
        <v>11</v>
      </c>
      <c r="E579">
        <v>3919.68</v>
      </c>
      <c r="F579">
        <v>4</v>
      </c>
      <c r="G579">
        <v>284.23</v>
      </c>
      <c r="H579">
        <v>0.15</v>
      </c>
      <c r="I579" t="str">
        <f>VLOOKUP(C579,[1]Sheet!$A:$D,3,FALSE)</f>
        <v>West</v>
      </c>
      <c r="J579" t="str">
        <f>VLOOKUP(C579,[1]Sheet!$A:$D,4,FALSE)</f>
        <v>Home Office</v>
      </c>
      <c r="K579">
        <f t="shared" ref="K579:K642" si="9">G579/E579</f>
        <v>7.2513572536533608E-2</v>
      </c>
    </row>
    <row r="580" spans="1:11" x14ac:dyDescent="0.25">
      <c r="A580" t="s">
        <v>972</v>
      </c>
      <c r="B580" t="s">
        <v>420</v>
      </c>
      <c r="C580" t="s">
        <v>495</v>
      </c>
      <c r="D580" t="s">
        <v>15</v>
      </c>
      <c r="E580">
        <v>1394.21</v>
      </c>
      <c r="F580">
        <v>5</v>
      </c>
      <c r="G580">
        <v>90.66</v>
      </c>
      <c r="H580">
        <v>0.1</v>
      </c>
      <c r="I580" t="str">
        <f>VLOOKUP(C580,[1]Sheet!$A:$D,3,FALSE)</f>
        <v>South</v>
      </c>
      <c r="J580" t="str">
        <f>VLOOKUP(C580,[1]Sheet!$A:$D,4,FALSE)</f>
        <v>Home Office</v>
      </c>
      <c r="K580">
        <f t="shared" si="9"/>
        <v>6.5026072112522496E-2</v>
      </c>
    </row>
    <row r="581" spans="1:11" x14ac:dyDescent="0.25">
      <c r="A581" t="s">
        <v>973</v>
      </c>
      <c r="B581" t="s">
        <v>974</v>
      </c>
      <c r="C581" t="s">
        <v>51</v>
      </c>
      <c r="D581" t="s">
        <v>15</v>
      </c>
      <c r="E581">
        <v>1632.26</v>
      </c>
      <c r="F581">
        <v>1</v>
      </c>
      <c r="G581">
        <v>443.26</v>
      </c>
      <c r="H581">
        <v>0.05</v>
      </c>
      <c r="I581" t="str">
        <f>VLOOKUP(C581,[1]Sheet!$A:$D,3,FALSE)</f>
        <v>South</v>
      </c>
      <c r="J581" t="str">
        <f>VLOOKUP(C581,[1]Sheet!$A:$D,4,FALSE)</f>
        <v>Consumer</v>
      </c>
      <c r="K581">
        <f t="shared" si="9"/>
        <v>0.27156212858245621</v>
      </c>
    </row>
    <row r="582" spans="1:11" x14ac:dyDescent="0.25">
      <c r="A582" t="s">
        <v>975</v>
      </c>
      <c r="B582" t="s">
        <v>976</v>
      </c>
      <c r="C582" t="s">
        <v>21</v>
      </c>
      <c r="D582" t="s">
        <v>22</v>
      </c>
      <c r="E582">
        <v>3271.27</v>
      </c>
      <c r="F582">
        <v>5</v>
      </c>
      <c r="G582">
        <v>486.1</v>
      </c>
      <c r="H582">
        <v>0</v>
      </c>
      <c r="I582" t="str">
        <f>VLOOKUP(C582,[1]Sheet!$A:$D,3,FALSE)</f>
        <v>North</v>
      </c>
      <c r="J582" t="str">
        <f>VLOOKUP(C582,[1]Sheet!$A:$D,4,FALSE)</f>
        <v>Consumer</v>
      </c>
      <c r="K582">
        <f t="shared" si="9"/>
        <v>0.14859672237387928</v>
      </c>
    </row>
    <row r="583" spans="1:11" x14ac:dyDescent="0.25">
      <c r="A583" t="s">
        <v>977</v>
      </c>
      <c r="B583" t="s">
        <v>275</v>
      </c>
      <c r="C583" t="s">
        <v>348</v>
      </c>
      <c r="D583" t="s">
        <v>11</v>
      </c>
      <c r="E583">
        <v>4093.33</v>
      </c>
      <c r="F583">
        <v>8</v>
      </c>
      <c r="G583">
        <v>429.23</v>
      </c>
      <c r="H583">
        <v>0.1</v>
      </c>
      <c r="I583" t="str">
        <f>VLOOKUP(C583,[1]Sheet!$A:$D,3,FALSE)</f>
        <v>East</v>
      </c>
      <c r="J583" t="str">
        <f>VLOOKUP(C583,[1]Sheet!$A:$D,4,FALSE)</f>
        <v>Consumer</v>
      </c>
      <c r="K583">
        <f t="shared" si="9"/>
        <v>0.10486083457722686</v>
      </c>
    </row>
    <row r="584" spans="1:11" x14ac:dyDescent="0.25">
      <c r="A584" t="s">
        <v>978</v>
      </c>
      <c r="B584" t="s">
        <v>121</v>
      </c>
      <c r="C584" t="s">
        <v>301</v>
      </c>
      <c r="D584" t="s">
        <v>22</v>
      </c>
      <c r="E584">
        <v>3480.52</v>
      </c>
      <c r="F584">
        <v>3</v>
      </c>
      <c r="G584">
        <v>673.39</v>
      </c>
      <c r="H584">
        <v>0</v>
      </c>
      <c r="I584" t="str">
        <f>VLOOKUP(C584,[1]Sheet!$A:$D,3,FALSE)</f>
        <v>West</v>
      </c>
      <c r="J584" t="str">
        <f>VLOOKUP(C584,[1]Sheet!$A:$D,4,FALSE)</f>
        <v>Consumer</v>
      </c>
      <c r="K584">
        <f t="shared" si="9"/>
        <v>0.19347396366060243</v>
      </c>
    </row>
    <row r="585" spans="1:11" x14ac:dyDescent="0.25">
      <c r="A585" t="s">
        <v>979</v>
      </c>
      <c r="B585" t="s">
        <v>563</v>
      </c>
      <c r="C585" t="s">
        <v>184</v>
      </c>
      <c r="D585" t="s">
        <v>15</v>
      </c>
      <c r="E585">
        <v>3511.23</v>
      </c>
      <c r="F585">
        <v>7</v>
      </c>
      <c r="G585">
        <v>237.34</v>
      </c>
      <c r="H585">
        <v>0.2</v>
      </c>
      <c r="I585" t="str">
        <f>VLOOKUP(C585,[1]Sheet!$A:$D,3,FALSE)</f>
        <v>South</v>
      </c>
      <c r="J585" t="str">
        <f>VLOOKUP(C585,[1]Sheet!$A:$D,4,FALSE)</f>
        <v>Corporate</v>
      </c>
      <c r="K585">
        <f t="shared" si="9"/>
        <v>6.7594546640351097E-2</v>
      </c>
    </row>
    <row r="586" spans="1:11" x14ac:dyDescent="0.25">
      <c r="A586" t="s">
        <v>980</v>
      </c>
      <c r="B586" t="s">
        <v>463</v>
      </c>
      <c r="C586" t="s">
        <v>238</v>
      </c>
      <c r="D586" t="s">
        <v>22</v>
      </c>
      <c r="E586">
        <v>4031.1</v>
      </c>
      <c r="F586">
        <v>7</v>
      </c>
      <c r="G586">
        <v>1021.96</v>
      </c>
      <c r="H586">
        <v>0.1</v>
      </c>
      <c r="I586" t="str">
        <f>VLOOKUP(C586,[1]Sheet!$A:$D,3,FALSE)</f>
        <v>North</v>
      </c>
      <c r="J586" t="str">
        <f>VLOOKUP(C586,[1]Sheet!$A:$D,4,FALSE)</f>
        <v>Corporate</v>
      </c>
      <c r="K586">
        <f t="shared" si="9"/>
        <v>0.25351889062538763</v>
      </c>
    </row>
    <row r="587" spans="1:11" x14ac:dyDescent="0.25">
      <c r="A587" t="s">
        <v>981</v>
      </c>
      <c r="B587" t="s">
        <v>982</v>
      </c>
      <c r="C587" t="s">
        <v>124</v>
      </c>
      <c r="D587" t="s">
        <v>11</v>
      </c>
      <c r="E587">
        <v>241.2</v>
      </c>
      <c r="F587">
        <v>8</v>
      </c>
      <c r="G587">
        <v>61.59</v>
      </c>
      <c r="H587">
        <v>0</v>
      </c>
      <c r="I587" t="str">
        <f>VLOOKUP(C587,[1]Sheet!$A:$D,3,FALSE)</f>
        <v>North</v>
      </c>
      <c r="J587" t="str">
        <f>VLOOKUP(C587,[1]Sheet!$A:$D,4,FALSE)</f>
        <v>Home Office</v>
      </c>
      <c r="K587">
        <f t="shared" si="9"/>
        <v>0.25534825870646771</v>
      </c>
    </row>
    <row r="588" spans="1:11" x14ac:dyDescent="0.25">
      <c r="A588" t="s">
        <v>983</v>
      </c>
      <c r="B588" t="s">
        <v>305</v>
      </c>
      <c r="C588" t="s">
        <v>251</v>
      </c>
      <c r="D588" t="s">
        <v>11</v>
      </c>
      <c r="E588">
        <v>2259.37</v>
      </c>
      <c r="F588">
        <v>1</v>
      </c>
      <c r="G588">
        <v>155.9</v>
      </c>
      <c r="H588">
        <v>0.2</v>
      </c>
      <c r="I588" t="str">
        <f>VLOOKUP(C588,[1]Sheet!$A:$D,3,FALSE)</f>
        <v>East</v>
      </c>
      <c r="J588" t="str">
        <f>VLOOKUP(C588,[1]Sheet!$A:$D,4,FALSE)</f>
        <v>Home Office</v>
      </c>
      <c r="K588">
        <f t="shared" si="9"/>
        <v>6.9001535826358679E-2</v>
      </c>
    </row>
    <row r="589" spans="1:11" x14ac:dyDescent="0.25">
      <c r="A589" t="s">
        <v>984</v>
      </c>
      <c r="B589" t="s">
        <v>985</v>
      </c>
      <c r="C589" t="s">
        <v>466</v>
      </c>
      <c r="D589" t="s">
        <v>22</v>
      </c>
      <c r="E589">
        <v>3743.76</v>
      </c>
      <c r="F589">
        <v>6</v>
      </c>
      <c r="G589">
        <v>1000.08</v>
      </c>
      <c r="H589">
        <v>0.2</v>
      </c>
      <c r="I589" t="str">
        <f>VLOOKUP(C589,[1]Sheet!$A:$D,3,FALSE)</f>
        <v>South</v>
      </c>
      <c r="J589" t="str">
        <f>VLOOKUP(C589,[1]Sheet!$A:$D,4,FALSE)</f>
        <v>Consumer</v>
      </c>
      <c r="K589">
        <f t="shared" si="9"/>
        <v>0.26713250849413422</v>
      </c>
    </row>
    <row r="590" spans="1:11" x14ac:dyDescent="0.25">
      <c r="A590" t="s">
        <v>986</v>
      </c>
      <c r="B590" t="s">
        <v>264</v>
      </c>
      <c r="C590" t="s">
        <v>212</v>
      </c>
      <c r="D590" t="s">
        <v>22</v>
      </c>
      <c r="E590">
        <v>3472.38</v>
      </c>
      <c r="F590">
        <v>4</v>
      </c>
      <c r="G590">
        <v>817.65</v>
      </c>
      <c r="H590">
        <v>0.15</v>
      </c>
      <c r="I590" t="str">
        <f>VLOOKUP(C590,[1]Sheet!$A:$D,3,FALSE)</f>
        <v>North</v>
      </c>
      <c r="J590" t="str">
        <f>VLOOKUP(C590,[1]Sheet!$A:$D,4,FALSE)</f>
        <v>Home Office</v>
      </c>
      <c r="K590">
        <f t="shared" si="9"/>
        <v>0.23547250012959409</v>
      </c>
    </row>
    <row r="591" spans="1:11" x14ac:dyDescent="0.25">
      <c r="A591" t="s">
        <v>987</v>
      </c>
      <c r="B591" t="s">
        <v>84</v>
      </c>
      <c r="C591" t="s">
        <v>65</v>
      </c>
      <c r="D591" t="s">
        <v>22</v>
      </c>
      <c r="E591">
        <v>3352.18</v>
      </c>
      <c r="F591">
        <v>10</v>
      </c>
      <c r="G591">
        <v>812.64</v>
      </c>
      <c r="H591">
        <v>0</v>
      </c>
      <c r="I591" t="str">
        <f>VLOOKUP(C591,[1]Sheet!$A:$D,3,FALSE)</f>
        <v>East</v>
      </c>
      <c r="J591" t="str">
        <f>VLOOKUP(C591,[1]Sheet!$A:$D,4,FALSE)</f>
        <v>Corporate</v>
      </c>
      <c r="K591">
        <f t="shared" si="9"/>
        <v>0.2424213496888592</v>
      </c>
    </row>
    <row r="592" spans="1:11" x14ac:dyDescent="0.25">
      <c r="A592" t="s">
        <v>988</v>
      </c>
      <c r="B592" t="s">
        <v>989</v>
      </c>
      <c r="C592" t="s">
        <v>372</v>
      </c>
      <c r="D592" t="s">
        <v>11</v>
      </c>
      <c r="E592">
        <v>3252.65</v>
      </c>
      <c r="F592">
        <v>3</v>
      </c>
      <c r="G592">
        <v>315.76</v>
      </c>
      <c r="H592">
        <v>0</v>
      </c>
      <c r="I592" t="str">
        <f>VLOOKUP(C592,[1]Sheet!$A:$D,3,FALSE)</f>
        <v>East</v>
      </c>
      <c r="J592" t="str">
        <f>VLOOKUP(C592,[1]Sheet!$A:$D,4,FALSE)</f>
        <v>Consumer</v>
      </c>
      <c r="K592">
        <f t="shared" si="9"/>
        <v>9.707776735892272E-2</v>
      </c>
    </row>
    <row r="593" spans="1:11" x14ac:dyDescent="0.25">
      <c r="A593" t="s">
        <v>990</v>
      </c>
      <c r="B593" t="s">
        <v>27</v>
      </c>
      <c r="C593" t="s">
        <v>181</v>
      </c>
      <c r="D593" t="s">
        <v>15</v>
      </c>
      <c r="E593">
        <v>2509.08</v>
      </c>
      <c r="F593">
        <v>9</v>
      </c>
      <c r="G593">
        <v>306.77999999999997</v>
      </c>
      <c r="H593">
        <v>0.05</v>
      </c>
      <c r="I593" t="str">
        <f>VLOOKUP(C593,[1]Sheet!$A:$D,3,FALSE)</f>
        <v>North</v>
      </c>
      <c r="J593" t="str">
        <f>VLOOKUP(C593,[1]Sheet!$A:$D,4,FALSE)</f>
        <v>Home Office</v>
      </c>
      <c r="K593">
        <f t="shared" si="9"/>
        <v>0.12226792290401262</v>
      </c>
    </row>
    <row r="594" spans="1:11" x14ac:dyDescent="0.25">
      <c r="A594" t="s">
        <v>991</v>
      </c>
      <c r="B594" t="s">
        <v>992</v>
      </c>
      <c r="C594" t="s">
        <v>221</v>
      </c>
      <c r="D594" t="s">
        <v>15</v>
      </c>
      <c r="E594">
        <v>3252.25</v>
      </c>
      <c r="F594">
        <v>8</v>
      </c>
      <c r="G594">
        <v>556.08000000000004</v>
      </c>
      <c r="H594">
        <v>0.15</v>
      </c>
      <c r="I594" t="str">
        <f>VLOOKUP(C594,[1]Sheet!$A:$D,3,FALSE)</f>
        <v>South</v>
      </c>
      <c r="J594" t="str">
        <f>VLOOKUP(C594,[1]Sheet!$A:$D,4,FALSE)</f>
        <v>Corporate</v>
      </c>
      <c r="K594">
        <f t="shared" si="9"/>
        <v>0.17098316550080714</v>
      </c>
    </row>
    <row r="595" spans="1:11" x14ac:dyDescent="0.25">
      <c r="A595" t="s">
        <v>993</v>
      </c>
      <c r="B595" t="s">
        <v>994</v>
      </c>
      <c r="C595" t="s">
        <v>235</v>
      </c>
      <c r="D595" t="s">
        <v>11</v>
      </c>
      <c r="E595">
        <v>2295.6799999999998</v>
      </c>
      <c r="F595">
        <v>2</v>
      </c>
      <c r="G595">
        <v>704.72</v>
      </c>
      <c r="H595">
        <v>0.15</v>
      </c>
      <c r="I595" t="str">
        <f>VLOOKUP(C595,[1]Sheet!$A:$D,3,FALSE)</f>
        <v>South</v>
      </c>
      <c r="J595" t="str">
        <f>VLOOKUP(C595,[1]Sheet!$A:$D,4,FALSE)</f>
        <v>Home Office</v>
      </c>
      <c r="K595">
        <f t="shared" si="9"/>
        <v>0.30697658210203516</v>
      </c>
    </row>
    <row r="596" spans="1:11" x14ac:dyDescent="0.25">
      <c r="A596" t="s">
        <v>995</v>
      </c>
      <c r="B596" t="s">
        <v>711</v>
      </c>
      <c r="C596" t="s">
        <v>46</v>
      </c>
      <c r="D596" t="s">
        <v>15</v>
      </c>
      <c r="E596">
        <v>3301.53</v>
      </c>
      <c r="F596">
        <v>9</v>
      </c>
      <c r="G596">
        <v>266.74</v>
      </c>
      <c r="H596">
        <v>0.2</v>
      </c>
      <c r="I596" t="str">
        <f>VLOOKUP(C596,[1]Sheet!$A:$D,3,FALSE)</f>
        <v>North</v>
      </c>
      <c r="J596" t="str">
        <f>VLOOKUP(C596,[1]Sheet!$A:$D,4,FALSE)</f>
        <v>Corporate</v>
      </c>
      <c r="K596">
        <f t="shared" si="9"/>
        <v>8.0792844529657459E-2</v>
      </c>
    </row>
    <row r="597" spans="1:11" x14ac:dyDescent="0.25">
      <c r="A597" t="s">
        <v>996</v>
      </c>
      <c r="B597" t="s">
        <v>242</v>
      </c>
      <c r="C597" t="s">
        <v>682</v>
      </c>
      <c r="D597" t="s">
        <v>22</v>
      </c>
      <c r="E597">
        <v>4146.95</v>
      </c>
      <c r="F597">
        <v>5</v>
      </c>
      <c r="G597">
        <v>1192.3900000000001</v>
      </c>
      <c r="H597">
        <v>0.2</v>
      </c>
      <c r="I597" t="str">
        <f>VLOOKUP(C597,[1]Sheet!$A:$D,3,FALSE)</f>
        <v>North</v>
      </c>
      <c r="J597" t="str">
        <f>VLOOKUP(C597,[1]Sheet!$A:$D,4,FALSE)</f>
        <v>Consumer</v>
      </c>
      <c r="K597">
        <f t="shared" si="9"/>
        <v>0.28753421189066669</v>
      </c>
    </row>
    <row r="598" spans="1:11" x14ac:dyDescent="0.25">
      <c r="A598" t="s">
        <v>997</v>
      </c>
      <c r="B598" t="s">
        <v>195</v>
      </c>
      <c r="C598" t="s">
        <v>243</v>
      </c>
      <c r="D598" t="s">
        <v>11</v>
      </c>
      <c r="E598">
        <v>1113.57</v>
      </c>
      <c r="F598">
        <v>1</v>
      </c>
      <c r="G598">
        <v>280</v>
      </c>
      <c r="H598">
        <v>0.05</v>
      </c>
      <c r="I598" t="str">
        <f>VLOOKUP(C598,[1]Sheet!$A:$D,3,FALSE)</f>
        <v>North</v>
      </c>
      <c r="J598" t="str">
        <f>VLOOKUP(C598,[1]Sheet!$A:$D,4,FALSE)</f>
        <v>Home Office</v>
      </c>
      <c r="K598">
        <f t="shared" si="9"/>
        <v>0.25144355541187352</v>
      </c>
    </row>
    <row r="599" spans="1:11" x14ac:dyDescent="0.25">
      <c r="A599" t="s">
        <v>998</v>
      </c>
      <c r="B599" t="s">
        <v>999</v>
      </c>
      <c r="C599" t="s">
        <v>102</v>
      </c>
      <c r="D599" t="s">
        <v>11</v>
      </c>
      <c r="E599">
        <v>1726.67</v>
      </c>
      <c r="F599">
        <v>6</v>
      </c>
      <c r="G599">
        <v>483.86</v>
      </c>
      <c r="H599">
        <v>0.15</v>
      </c>
      <c r="I599" t="str">
        <f>VLOOKUP(C599,[1]Sheet!$A:$D,3,FALSE)</f>
        <v>South</v>
      </c>
      <c r="J599" t="str">
        <f>VLOOKUP(C599,[1]Sheet!$A:$D,4,FALSE)</f>
        <v>Home Office</v>
      </c>
      <c r="K599">
        <f t="shared" si="9"/>
        <v>0.28022725824853617</v>
      </c>
    </row>
    <row r="600" spans="1:11" x14ac:dyDescent="0.25">
      <c r="A600" t="s">
        <v>1000</v>
      </c>
      <c r="B600" t="s">
        <v>78</v>
      </c>
      <c r="C600" t="s">
        <v>412</v>
      </c>
      <c r="D600" t="s">
        <v>11</v>
      </c>
      <c r="E600">
        <v>577.44000000000005</v>
      </c>
      <c r="F600">
        <v>6</v>
      </c>
      <c r="G600">
        <v>143.02000000000001</v>
      </c>
      <c r="H600">
        <v>0.1</v>
      </c>
      <c r="I600" t="str">
        <f>VLOOKUP(C600,[1]Sheet!$A:$D,3,FALSE)</f>
        <v>West</v>
      </c>
      <c r="J600" t="str">
        <f>VLOOKUP(C600,[1]Sheet!$A:$D,4,FALSE)</f>
        <v>Corporate</v>
      </c>
      <c r="K600">
        <f t="shared" si="9"/>
        <v>0.24767941257966195</v>
      </c>
    </row>
    <row r="601" spans="1:11" x14ac:dyDescent="0.25">
      <c r="A601" t="s">
        <v>1001</v>
      </c>
      <c r="B601" t="s">
        <v>778</v>
      </c>
      <c r="C601" t="s">
        <v>221</v>
      </c>
      <c r="D601" t="s">
        <v>15</v>
      </c>
      <c r="E601">
        <v>2657.73</v>
      </c>
      <c r="F601">
        <v>8</v>
      </c>
      <c r="G601">
        <v>692.68</v>
      </c>
      <c r="H601">
        <v>0.05</v>
      </c>
      <c r="I601" t="str">
        <f>VLOOKUP(C601,[1]Sheet!$A:$D,3,FALSE)</f>
        <v>South</v>
      </c>
      <c r="J601" t="str">
        <f>VLOOKUP(C601,[1]Sheet!$A:$D,4,FALSE)</f>
        <v>Corporate</v>
      </c>
      <c r="K601">
        <f t="shared" si="9"/>
        <v>0.26062843102948757</v>
      </c>
    </row>
    <row r="602" spans="1:11" x14ac:dyDescent="0.25">
      <c r="A602" t="s">
        <v>1002</v>
      </c>
      <c r="B602" t="s">
        <v>1003</v>
      </c>
      <c r="C602" t="s">
        <v>449</v>
      </c>
      <c r="D602" t="s">
        <v>22</v>
      </c>
      <c r="E602">
        <v>3738.3</v>
      </c>
      <c r="F602">
        <v>4</v>
      </c>
      <c r="G602">
        <v>645.84</v>
      </c>
      <c r="H602">
        <v>0.05</v>
      </c>
      <c r="I602" t="str">
        <f>VLOOKUP(C602,[1]Sheet!$A:$D,3,FALSE)</f>
        <v>East</v>
      </c>
      <c r="J602" t="str">
        <f>VLOOKUP(C602,[1]Sheet!$A:$D,4,FALSE)</f>
        <v>Corporate</v>
      </c>
      <c r="K602">
        <f t="shared" si="9"/>
        <v>0.17276302062434798</v>
      </c>
    </row>
    <row r="603" spans="1:11" x14ac:dyDescent="0.25">
      <c r="A603" t="s">
        <v>1004</v>
      </c>
      <c r="B603" t="s">
        <v>506</v>
      </c>
      <c r="C603" t="s">
        <v>193</v>
      </c>
      <c r="D603" t="s">
        <v>15</v>
      </c>
      <c r="E603">
        <v>4658.0600000000004</v>
      </c>
      <c r="F603">
        <v>6</v>
      </c>
      <c r="G603">
        <v>781.94</v>
      </c>
      <c r="H603">
        <v>0</v>
      </c>
      <c r="I603" t="str">
        <f>VLOOKUP(C603,[1]Sheet!$A:$D,3,FALSE)</f>
        <v>East</v>
      </c>
      <c r="J603" t="str">
        <f>VLOOKUP(C603,[1]Sheet!$A:$D,4,FALSE)</f>
        <v>Consumer</v>
      </c>
      <c r="K603">
        <f t="shared" si="9"/>
        <v>0.16786816829323795</v>
      </c>
    </row>
    <row r="604" spans="1:11" x14ac:dyDescent="0.25">
      <c r="A604" t="s">
        <v>1005</v>
      </c>
      <c r="B604" t="s">
        <v>641</v>
      </c>
      <c r="C604" t="s">
        <v>181</v>
      </c>
      <c r="D604" t="s">
        <v>22</v>
      </c>
      <c r="E604">
        <v>2130.9</v>
      </c>
      <c r="F604">
        <v>2</v>
      </c>
      <c r="G604">
        <v>698.91</v>
      </c>
      <c r="H604">
        <v>0.15</v>
      </c>
      <c r="I604" t="str">
        <f>VLOOKUP(C604,[1]Sheet!$A:$D,3,FALSE)</f>
        <v>North</v>
      </c>
      <c r="J604" t="str">
        <f>VLOOKUP(C604,[1]Sheet!$A:$D,4,FALSE)</f>
        <v>Home Office</v>
      </c>
      <c r="K604">
        <f t="shared" si="9"/>
        <v>0.32798817401098124</v>
      </c>
    </row>
    <row r="605" spans="1:11" x14ac:dyDescent="0.25">
      <c r="A605" t="s">
        <v>1006</v>
      </c>
      <c r="B605" t="s">
        <v>70</v>
      </c>
      <c r="C605" t="s">
        <v>102</v>
      </c>
      <c r="D605" t="s">
        <v>11</v>
      </c>
      <c r="E605">
        <v>3326.44</v>
      </c>
      <c r="F605">
        <v>1</v>
      </c>
      <c r="G605">
        <v>1120.53</v>
      </c>
      <c r="H605">
        <v>0.2</v>
      </c>
      <c r="I605" t="str">
        <f>VLOOKUP(C605,[1]Sheet!$A:$D,3,FALSE)</f>
        <v>South</v>
      </c>
      <c r="J605" t="str">
        <f>VLOOKUP(C605,[1]Sheet!$A:$D,4,FALSE)</f>
        <v>Home Office</v>
      </c>
      <c r="K605">
        <f t="shared" si="9"/>
        <v>0.33685561741681797</v>
      </c>
    </row>
    <row r="606" spans="1:11" x14ac:dyDescent="0.25">
      <c r="A606" t="s">
        <v>1007</v>
      </c>
      <c r="B606" t="s">
        <v>159</v>
      </c>
      <c r="C606" t="s">
        <v>424</v>
      </c>
      <c r="D606" t="s">
        <v>11</v>
      </c>
      <c r="E606">
        <v>338</v>
      </c>
      <c r="F606">
        <v>9</v>
      </c>
      <c r="G606">
        <v>111.74</v>
      </c>
      <c r="H606">
        <v>0.05</v>
      </c>
      <c r="I606" t="str">
        <f>VLOOKUP(C606,[1]Sheet!$A:$D,3,FALSE)</f>
        <v>South</v>
      </c>
      <c r="J606" t="str">
        <f>VLOOKUP(C606,[1]Sheet!$A:$D,4,FALSE)</f>
        <v>Consumer</v>
      </c>
      <c r="K606">
        <f t="shared" si="9"/>
        <v>0.33059171597633136</v>
      </c>
    </row>
    <row r="607" spans="1:11" x14ac:dyDescent="0.25">
      <c r="A607" t="s">
        <v>1008</v>
      </c>
      <c r="B607" t="s">
        <v>1009</v>
      </c>
      <c r="C607" t="s">
        <v>215</v>
      </c>
      <c r="D607" t="s">
        <v>15</v>
      </c>
      <c r="E607">
        <v>2934.92</v>
      </c>
      <c r="F607">
        <v>7</v>
      </c>
      <c r="G607">
        <v>789.93</v>
      </c>
      <c r="H607">
        <v>0.2</v>
      </c>
      <c r="I607" t="str">
        <f>VLOOKUP(C607,[1]Sheet!$A:$D,3,FALSE)</f>
        <v>South</v>
      </c>
      <c r="J607" t="str">
        <f>VLOOKUP(C607,[1]Sheet!$A:$D,4,FALSE)</f>
        <v>Corporate</v>
      </c>
      <c r="K607">
        <f t="shared" si="9"/>
        <v>0.26914873318523158</v>
      </c>
    </row>
    <row r="608" spans="1:11" x14ac:dyDescent="0.25">
      <c r="A608" t="s">
        <v>1010</v>
      </c>
      <c r="B608" t="s">
        <v>1011</v>
      </c>
      <c r="C608" t="s">
        <v>333</v>
      </c>
      <c r="D608" t="s">
        <v>11</v>
      </c>
      <c r="E608">
        <v>4425.21</v>
      </c>
      <c r="F608">
        <v>10</v>
      </c>
      <c r="G608">
        <v>890.5</v>
      </c>
      <c r="H608">
        <v>0.05</v>
      </c>
      <c r="I608" t="str">
        <f>VLOOKUP(C608,[1]Sheet!$A:$D,3,FALSE)</f>
        <v>East</v>
      </c>
      <c r="J608" t="str">
        <f>VLOOKUP(C608,[1]Sheet!$A:$D,4,FALSE)</f>
        <v>Consumer</v>
      </c>
      <c r="K608">
        <f t="shared" si="9"/>
        <v>0.20123338779402558</v>
      </c>
    </row>
    <row r="609" spans="1:11" x14ac:dyDescent="0.25">
      <c r="A609" t="s">
        <v>1012</v>
      </c>
      <c r="B609" t="s">
        <v>315</v>
      </c>
      <c r="C609" t="s">
        <v>176</v>
      </c>
      <c r="D609" t="s">
        <v>11</v>
      </c>
      <c r="E609">
        <v>2049.56</v>
      </c>
      <c r="F609">
        <v>3</v>
      </c>
      <c r="G609">
        <v>313.29000000000002</v>
      </c>
      <c r="H609">
        <v>0.05</v>
      </c>
      <c r="I609" t="str">
        <f>VLOOKUP(C609,[1]Sheet!$A:$D,3,FALSE)</f>
        <v>East</v>
      </c>
      <c r="J609" t="str">
        <f>VLOOKUP(C609,[1]Sheet!$A:$D,4,FALSE)</f>
        <v>Home Office</v>
      </c>
      <c r="K609">
        <f t="shared" si="9"/>
        <v>0.15285719861824001</v>
      </c>
    </row>
    <row r="610" spans="1:11" x14ac:dyDescent="0.25">
      <c r="A610" t="s">
        <v>1013</v>
      </c>
      <c r="B610" t="s">
        <v>478</v>
      </c>
      <c r="C610" t="s">
        <v>251</v>
      </c>
      <c r="D610" t="s">
        <v>11</v>
      </c>
      <c r="E610">
        <v>3052.37</v>
      </c>
      <c r="F610">
        <v>9</v>
      </c>
      <c r="G610">
        <v>964.34</v>
      </c>
      <c r="H610">
        <v>0.1</v>
      </c>
      <c r="I610" t="str">
        <f>VLOOKUP(C610,[1]Sheet!$A:$D,3,FALSE)</f>
        <v>East</v>
      </c>
      <c r="J610" t="str">
        <f>VLOOKUP(C610,[1]Sheet!$A:$D,4,FALSE)</f>
        <v>Home Office</v>
      </c>
      <c r="K610">
        <f t="shared" si="9"/>
        <v>0.31593155482461172</v>
      </c>
    </row>
    <row r="611" spans="1:11" x14ac:dyDescent="0.25">
      <c r="A611" t="s">
        <v>1014</v>
      </c>
      <c r="B611" t="s">
        <v>183</v>
      </c>
      <c r="C611" t="s">
        <v>449</v>
      </c>
      <c r="D611" t="s">
        <v>15</v>
      </c>
      <c r="E611">
        <v>3710.41</v>
      </c>
      <c r="F611">
        <v>4</v>
      </c>
      <c r="G611">
        <v>801.72</v>
      </c>
      <c r="H611">
        <v>0.2</v>
      </c>
      <c r="I611" t="str">
        <f>VLOOKUP(C611,[1]Sheet!$A:$D,3,FALSE)</f>
        <v>East</v>
      </c>
      <c r="J611" t="str">
        <f>VLOOKUP(C611,[1]Sheet!$A:$D,4,FALSE)</f>
        <v>Corporate</v>
      </c>
      <c r="K611">
        <f t="shared" si="9"/>
        <v>0.21607315633582275</v>
      </c>
    </row>
    <row r="612" spans="1:11" x14ac:dyDescent="0.25">
      <c r="A612" t="s">
        <v>1015</v>
      </c>
      <c r="B612" t="s">
        <v>641</v>
      </c>
      <c r="C612" t="s">
        <v>449</v>
      </c>
      <c r="D612" t="s">
        <v>15</v>
      </c>
      <c r="E612">
        <v>1523.84</v>
      </c>
      <c r="F612">
        <v>3</v>
      </c>
      <c r="G612">
        <v>234.04</v>
      </c>
      <c r="H612">
        <v>0.2</v>
      </c>
      <c r="I612" t="str">
        <f>VLOOKUP(C612,[1]Sheet!$A:$D,3,FALSE)</f>
        <v>East</v>
      </c>
      <c r="J612" t="str">
        <f>VLOOKUP(C612,[1]Sheet!$A:$D,4,FALSE)</f>
        <v>Corporate</v>
      </c>
      <c r="K612">
        <f t="shared" si="9"/>
        <v>0.15358567828643427</v>
      </c>
    </row>
    <row r="613" spans="1:11" x14ac:dyDescent="0.25">
      <c r="A613" t="s">
        <v>1016</v>
      </c>
      <c r="B613" t="s">
        <v>1017</v>
      </c>
      <c r="C613" t="s">
        <v>68</v>
      </c>
      <c r="D613" t="s">
        <v>11</v>
      </c>
      <c r="E613">
        <v>3502.13</v>
      </c>
      <c r="F613">
        <v>9</v>
      </c>
      <c r="G613">
        <v>513.80999999999995</v>
      </c>
      <c r="H613">
        <v>0.15</v>
      </c>
      <c r="I613" t="str">
        <f>VLOOKUP(C613,[1]Sheet!$A:$D,3,FALSE)</f>
        <v>East</v>
      </c>
      <c r="J613" t="str">
        <f>VLOOKUP(C613,[1]Sheet!$A:$D,4,FALSE)</f>
        <v>Corporate</v>
      </c>
      <c r="K613">
        <f t="shared" si="9"/>
        <v>0.14671357145508587</v>
      </c>
    </row>
    <row r="614" spans="1:11" x14ac:dyDescent="0.25">
      <c r="A614" t="s">
        <v>1018</v>
      </c>
      <c r="B614" t="s">
        <v>1019</v>
      </c>
      <c r="C614" t="s">
        <v>88</v>
      </c>
      <c r="D614" t="s">
        <v>22</v>
      </c>
      <c r="E614">
        <v>2896.13</v>
      </c>
      <c r="F614">
        <v>9</v>
      </c>
      <c r="G614">
        <v>724.46</v>
      </c>
      <c r="H614">
        <v>0.1</v>
      </c>
      <c r="I614" t="str">
        <f>VLOOKUP(C614,[1]Sheet!$A:$D,3,FALSE)</f>
        <v>North</v>
      </c>
      <c r="J614" t="str">
        <f>VLOOKUP(C614,[1]Sheet!$A:$D,4,FALSE)</f>
        <v>Home Office</v>
      </c>
      <c r="K614">
        <f t="shared" si="9"/>
        <v>0.25014761077714054</v>
      </c>
    </row>
    <row r="615" spans="1:11" x14ac:dyDescent="0.25">
      <c r="A615" t="s">
        <v>1020</v>
      </c>
      <c r="B615" t="s">
        <v>732</v>
      </c>
      <c r="C615" t="s">
        <v>390</v>
      </c>
      <c r="D615" t="s">
        <v>11</v>
      </c>
      <c r="E615">
        <v>4060.69</v>
      </c>
      <c r="F615">
        <v>3</v>
      </c>
      <c r="G615">
        <v>839.83</v>
      </c>
      <c r="H615">
        <v>0</v>
      </c>
      <c r="I615" t="str">
        <f>VLOOKUP(C615,[1]Sheet!$A:$D,3,FALSE)</f>
        <v>West</v>
      </c>
      <c r="J615" t="str">
        <f>VLOOKUP(C615,[1]Sheet!$A:$D,4,FALSE)</f>
        <v>Corporate</v>
      </c>
      <c r="K615">
        <f t="shared" si="9"/>
        <v>0.20681953067089584</v>
      </c>
    </row>
    <row r="616" spans="1:11" x14ac:dyDescent="0.25">
      <c r="A616" t="s">
        <v>1021</v>
      </c>
      <c r="B616" t="s">
        <v>1022</v>
      </c>
      <c r="C616" t="s">
        <v>59</v>
      </c>
      <c r="D616" t="s">
        <v>11</v>
      </c>
      <c r="E616">
        <v>377.36</v>
      </c>
      <c r="F616">
        <v>5</v>
      </c>
      <c r="G616">
        <v>49.09</v>
      </c>
      <c r="H616">
        <v>0.05</v>
      </c>
      <c r="I616" t="str">
        <f>VLOOKUP(C616,[1]Sheet!$A:$D,3,FALSE)</f>
        <v>West</v>
      </c>
      <c r="J616" t="str">
        <f>VLOOKUP(C616,[1]Sheet!$A:$D,4,FALSE)</f>
        <v>Consumer</v>
      </c>
      <c r="K616">
        <f t="shared" si="9"/>
        <v>0.13008797964808141</v>
      </c>
    </row>
    <row r="617" spans="1:11" x14ac:dyDescent="0.25">
      <c r="A617" t="s">
        <v>1023</v>
      </c>
      <c r="B617" t="s">
        <v>1024</v>
      </c>
      <c r="C617" t="s">
        <v>25</v>
      </c>
      <c r="D617" t="s">
        <v>15</v>
      </c>
      <c r="E617">
        <v>3483.91</v>
      </c>
      <c r="F617">
        <v>6</v>
      </c>
      <c r="G617">
        <v>482.67</v>
      </c>
      <c r="H617">
        <v>0.15</v>
      </c>
      <c r="I617" t="str">
        <f>VLOOKUP(C617,[1]Sheet!$A:$D,3,FALSE)</f>
        <v>South</v>
      </c>
      <c r="J617" t="str">
        <f>VLOOKUP(C617,[1]Sheet!$A:$D,4,FALSE)</f>
        <v>Consumer</v>
      </c>
      <c r="K617">
        <f t="shared" si="9"/>
        <v>0.13854261447626376</v>
      </c>
    </row>
    <row r="618" spans="1:11" x14ac:dyDescent="0.25">
      <c r="A618" t="s">
        <v>1025</v>
      </c>
      <c r="B618" t="s">
        <v>350</v>
      </c>
      <c r="C618" t="s">
        <v>198</v>
      </c>
      <c r="D618" t="s">
        <v>15</v>
      </c>
      <c r="E618">
        <v>3118.93</v>
      </c>
      <c r="F618">
        <v>9</v>
      </c>
      <c r="G618">
        <v>788.02</v>
      </c>
      <c r="H618">
        <v>0.15</v>
      </c>
      <c r="I618" t="str">
        <f>VLOOKUP(C618,[1]Sheet!$A:$D,3,FALSE)</f>
        <v>South</v>
      </c>
      <c r="J618" t="str">
        <f>VLOOKUP(C618,[1]Sheet!$A:$D,4,FALSE)</f>
        <v>Home Office</v>
      </c>
      <c r="K618">
        <f t="shared" si="9"/>
        <v>0.25265716127005095</v>
      </c>
    </row>
    <row r="619" spans="1:11" x14ac:dyDescent="0.25">
      <c r="A619" t="s">
        <v>1026</v>
      </c>
      <c r="B619" t="s">
        <v>137</v>
      </c>
      <c r="C619" t="s">
        <v>14</v>
      </c>
      <c r="D619" t="s">
        <v>11</v>
      </c>
      <c r="E619">
        <v>2603.52</v>
      </c>
      <c r="F619">
        <v>1</v>
      </c>
      <c r="G619">
        <v>752.55</v>
      </c>
      <c r="H619">
        <v>0.15</v>
      </c>
      <c r="I619" t="str">
        <f>VLOOKUP(C619,[1]Sheet!$A:$D,3,FALSE)</f>
        <v>North</v>
      </c>
      <c r="J619" t="str">
        <f>VLOOKUP(C619,[1]Sheet!$A:$D,4,FALSE)</f>
        <v>Corporate</v>
      </c>
      <c r="K619">
        <f t="shared" si="9"/>
        <v>0.28905097713864303</v>
      </c>
    </row>
    <row r="620" spans="1:11" x14ac:dyDescent="0.25">
      <c r="A620" t="s">
        <v>1027</v>
      </c>
      <c r="B620" t="s">
        <v>461</v>
      </c>
      <c r="C620" t="s">
        <v>301</v>
      </c>
      <c r="D620" t="s">
        <v>11</v>
      </c>
      <c r="E620">
        <v>2141.17</v>
      </c>
      <c r="F620">
        <v>9</v>
      </c>
      <c r="G620">
        <v>613.29999999999995</v>
      </c>
      <c r="H620">
        <v>0</v>
      </c>
      <c r="I620" t="str">
        <f>VLOOKUP(C620,[1]Sheet!$A:$D,3,FALSE)</f>
        <v>West</v>
      </c>
      <c r="J620" t="str">
        <f>VLOOKUP(C620,[1]Sheet!$A:$D,4,FALSE)</f>
        <v>Consumer</v>
      </c>
      <c r="K620">
        <f t="shared" si="9"/>
        <v>0.28643218427308431</v>
      </c>
    </row>
    <row r="621" spans="1:11" x14ac:dyDescent="0.25">
      <c r="A621" t="s">
        <v>1028</v>
      </c>
      <c r="B621" t="s">
        <v>323</v>
      </c>
      <c r="C621" t="s">
        <v>372</v>
      </c>
      <c r="D621" t="s">
        <v>15</v>
      </c>
      <c r="E621">
        <v>3743.98</v>
      </c>
      <c r="F621">
        <v>6</v>
      </c>
      <c r="G621">
        <v>415.31</v>
      </c>
      <c r="H621">
        <v>0.2</v>
      </c>
      <c r="I621" t="str">
        <f>VLOOKUP(C621,[1]Sheet!$A:$D,3,FALSE)</f>
        <v>East</v>
      </c>
      <c r="J621" t="str">
        <f>VLOOKUP(C621,[1]Sheet!$A:$D,4,FALSE)</f>
        <v>Consumer</v>
      </c>
      <c r="K621">
        <f t="shared" si="9"/>
        <v>0.11092740880026068</v>
      </c>
    </row>
    <row r="622" spans="1:11" x14ac:dyDescent="0.25">
      <c r="A622" t="s">
        <v>1029</v>
      </c>
      <c r="B622" t="s">
        <v>229</v>
      </c>
      <c r="C622" t="s">
        <v>68</v>
      </c>
      <c r="D622" t="s">
        <v>11</v>
      </c>
      <c r="E622">
        <v>3718.41</v>
      </c>
      <c r="F622">
        <v>8</v>
      </c>
      <c r="G622">
        <v>405.09</v>
      </c>
      <c r="H622">
        <v>0.05</v>
      </c>
      <c r="I622" t="str">
        <f>VLOOKUP(C622,[1]Sheet!$A:$D,3,FALSE)</f>
        <v>East</v>
      </c>
      <c r="J622" t="str">
        <f>VLOOKUP(C622,[1]Sheet!$A:$D,4,FALSE)</f>
        <v>Corporate</v>
      </c>
      <c r="K622">
        <f t="shared" si="9"/>
        <v>0.10894172509217649</v>
      </c>
    </row>
    <row r="623" spans="1:11" x14ac:dyDescent="0.25">
      <c r="A623" t="s">
        <v>1030</v>
      </c>
      <c r="B623" t="s">
        <v>491</v>
      </c>
      <c r="C623" t="s">
        <v>76</v>
      </c>
      <c r="D623" t="s">
        <v>15</v>
      </c>
      <c r="E623">
        <v>464.9</v>
      </c>
      <c r="F623">
        <v>7</v>
      </c>
      <c r="G623">
        <v>157.47999999999999</v>
      </c>
      <c r="H623">
        <v>0</v>
      </c>
      <c r="I623" t="str">
        <f>VLOOKUP(C623,[1]Sheet!$A:$D,3,FALSE)</f>
        <v>West</v>
      </c>
      <c r="J623" t="str">
        <f>VLOOKUP(C623,[1]Sheet!$A:$D,4,FALSE)</f>
        <v>Home Office</v>
      </c>
      <c r="K623">
        <f t="shared" si="9"/>
        <v>0.3387395138739514</v>
      </c>
    </row>
    <row r="624" spans="1:11" x14ac:dyDescent="0.25">
      <c r="A624" t="s">
        <v>1031</v>
      </c>
      <c r="B624" t="s">
        <v>1022</v>
      </c>
      <c r="C624" t="s">
        <v>390</v>
      </c>
      <c r="D624" t="s">
        <v>22</v>
      </c>
      <c r="E624">
        <v>1467.65</v>
      </c>
      <c r="F624">
        <v>5</v>
      </c>
      <c r="G624">
        <v>189.73</v>
      </c>
      <c r="H624">
        <v>0</v>
      </c>
      <c r="I624" t="str">
        <f>VLOOKUP(C624,[1]Sheet!$A:$D,3,FALSE)</f>
        <v>West</v>
      </c>
      <c r="J624" t="str">
        <f>VLOOKUP(C624,[1]Sheet!$A:$D,4,FALSE)</f>
        <v>Corporate</v>
      </c>
      <c r="K624">
        <f t="shared" si="9"/>
        <v>0.12927469083228288</v>
      </c>
    </row>
    <row r="625" spans="1:11" x14ac:dyDescent="0.25">
      <c r="A625" t="s">
        <v>1032</v>
      </c>
      <c r="B625" t="s">
        <v>269</v>
      </c>
      <c r="C625" t="s">
        <v>456</v>
      </c>
      <c r="D625" t="s">
        <v>15</v>
      </c>
      <c r="E625">
        <v>2385.02</v>
      </c>
      <c r="F625">
        <v>6</v>
      </c>
      <c r="G625">
        <v>790.03</v>
      </c>
      <c r="H625">
        <v>0.2</v>
      </c>
      <c r="I625" t="str">
        <f>VLOOKUP(C625,[1]Sheet!$A:$D,3,FALSE)</f>
        <v>East</v>
      </c>
      <c r="J625" t="str">
        <f>VLOOKUP(C625,[1]Sheet!$A:$D,4,FALSE)</f>
        <v>Consumer</v>
      </c>
      <c r="K625">
        <f t="shared" si="9"/>
        <v>0.33124669814089608</v>
      </c>
    </row>
    <row r="626" spans="1:11" x14ac:dyDescent="0.25">
      <c r="A626" t="s">
        <v>1033</v>
      </c>
      <c r="B626" t="s">
        <v>637</v>
      </c>
      <c r="C626" t="s">
        <v>173</v>
      </c>
      <c r="D626" t="s">
        <v>11</v>
      </c>
      <c r="E626">
        <v>3890.94</v>
      </c>
      <c r="F626">
        <v>8</v>
      </c>
      <c r="G626">
        <v>924.53</v>
      </c>
      <c r="H626">
        <v>0.2</v>
      </c>
      <c r="I626" t="str">
        <f>VLOOKUP(C626,[1]Sheet!$A:$D,3,FALSE)</f>
        <v>North</v>
      </c>
      <c r="J626" t="str">
        <f>VLOOKUP(C626,[1]Sheet!$A:$D,4,FALSE)</f>
        <v>Consumer</v>
      </c>
      <c r="K626">
        <f t="shared" si="9"/>
        <v>0.2376109629035657</v>
      </c>
    </row>
    <row r="627" spans="1:11" x14ac:dyDescent="0.25">
      <c r="A627" t="s">
        <v>1034</v>
      </c>
      <c r="B627" t="s">
        <v>297</v>
      </c>
      <c r="C627" t="s">
        <v>221</v>
      </c>
      <c r="D627" t="s">
        <v>22</v>
      </c>
      <c r="E627">
        <v>1854.62</v>
      </c>
      <c r="F627">
        <v>4</v>
      </c>
      <c r="G627">
        <v>528.96</v>
      </c>
      <c r="H627">
        <v>0.05</v>
      </c>
      <c r="I627" t="str">
        <f>VLOOKUP(C627,[1]Sheet!$A:$D,3,FALSE)</f>
        <v>South</v>
      </c>
      <c r="J627" t="str">
        <f>VLOOKUP(C627,[1]Sheet!$A:$D,4,FALSE)</f>
        <v>Corporate</v>
      </c>
      <c r="K627">
        <f t="shared" si="9"/>
        <v>0.28521206500523022</v>
      </c>
    </row>
    <row r="628" spans="1:11" x14ac:dyDescent="0.25">
      <c r="A628" t="s">
        <v>1035</v>
      </c>
      <c r="B628" t="s">
        <v>358</v>
      </c>
      <c r="C628" t="s">
        <v>212</v>
      </c>
      <c r="D628" t="s">
        <v>22</v>
      </c>
      <c r="E628">
        <v>434.06</v>
      </c>
      <c r="F628">
        <v>9</v>
      </c>
      <c r="G628">
        <v>87.48</v>
      </c>
      <c r="H628">
        <v>0.15</v>
      </c>
      <c r="I628" t="str">
        <f>VLOOKUP(C628,[1]Sheet!$A:$D,3,FALSE)</f>
        <v>North</v>
      </c>
      <c r="J628" t="str">
        <f>VLOOKUP(C628,[1]Sheet!$A:$D,4,FALSE)</f>
        <v>Home Office</v>
      </c>
      <c r="K628">
        <f t="shared" si="9"/>
        <v>0.2015389577477768</v>
      </c>
    </row>
    <row r="629" spans="1:11" x14ac:dyDescent="0.25">
      <c r="A629" t="s">
        <v>1036</v>
      </c>
      <c r="B629" t="s">
        <v>217</v>
      </c>
      <c r="C629" t="s">
        <v>34</v>
      </c>
      <c r="D629" t="s">
        <v>11</v>
      </c>
      <c r="E629">
        <v>1812.07</v>
      </c>
      <c r="F629">
        <v>6</v>
      </c>
      <c r="G629">
        <v>570.84</v>
      </c>
      <c r="H629">
        <v>0.1</v>
      </c>
      <c r="I629" t="str">
        <f>VLOOKUP(C629,[1]Sheet!$A:$D,3,FALSE)</f>
        <v>West</v>
      </c>
      <c r="J629" t="str">
        <f>VLOOKUP(C629,[1]Sheet!$A:$D,4,FALSE)</f>
        <v>Home Office</v>
      </c>
      <c r="K629">
        <f t="shared" si="9"/>
        <v>0.3150209428995569</v>
      </c>
    </row>
    <row r="630" spans="1:11" x14ac:dyDescent="0.25">
      <c r="A630" t="s">
        <v>1037</v>
      </c>
      <c r="B630" t="s">
        <v>656</v>
      </c>
      <c r="C630" t="s">
        <v>495</v>
      </c>
      <c r="D630" t="s">
        <v>11</v>
      </c>
      <c r="E630">
        <v>1170.3800000000001</v>
      </c>
      <c r="F630">
        <v>9</v>
      </c>
      <c r="G630">
        <v>322.79000000000002</v>
      </c>
      <c r="H630">
        <v>0</v>
      </c>
      <c r="I630" t="str">
        <f>VLOOKUP(C630,[1]Sheet!$A:$D,3,FALSE)</f>
        <v>South</v>
      </c>
      <c r="J630" t="str">
        <f>VLOOKUP(C630,[1]Sheet!$A:$D,4,FALSE)</f>
        <v>Home Office</v>
      </c>
      <c r="K630">
        <f t="shared" si="9"/>
        <v>0.27579931304362687</v>
      </c>
    </row>
    <row r="631" spans="1:11" x14ac:dyDescent="0.25">
      <c r="A631" t="s">
        <v>1038</v>
      </c>
      <c r="B631" t="s">
        <v>542</v>
      </c>
      <c r="C631" t="s">
        <v>412</v>
      </c>
      <c r="D631" t="s">
        <v>22</v>
      </c>
      <c r="E631">
        <v>3377.8</v>
      </c>
      <c r="F631">
        <v>10</v>
      </c>
      <c r="G631">
        <v>620.5</v>
      </c>
      <c r="H631">
        <v>0.05</v>
      </c>
      <c r="I631" t="str">
        <f>VLOOKUP(C631,[1]Sheet!$A:$D,3,FALSE)</f>
        <v>West</v>
      </c>
      <c r="J631" t="str">
        <f>VLOOKUP(C631,[1]Sheet!$A:$D,4,FALSE)</f>
        <v>Corporate</v>
      </c>
      <c r="K631">
        <f t="shared" si="9"/>
        <v>0.18369944934572799</v>
      </c>
    </row>
    <row r="632" spans="1:11" x14ac:dyDescent="0.25">
      <c r="A632" t="s">
        <v>1039</v>
      </c>
      <c r="B632" t="s">
        <v>186</v>
      </c>
      <c r="C632" t="s">
        <v>54</v>
      </c>
      <c r="D632" t="s">
        <v>11</v>
      </c>
      <c r="E632">
        <v>3444.5</v>
      </c>
      <c r="F632">
        <v>5</v>
      </c>
      <c r="G632">
        <v>503.87</v>
      </c>
      <c r="H632">
        <v>0.2</v>
      </c>
      <c r="I632" t="str">
        <f>VLOOKUP(C632,[1]Sheet!$A:$D,3,FALSE)</f>
        <v>West</v>
      </c>
      <c r="J632" t="str">
        <f>VLOOKUP(C632,[1]Sheet!$A:$D,4,FALSE)</f>
        <v>Consumer</v>
      </c>
      <c r="K632">
        <f t="shared" si="9"/>
        <v>0.14628247931484975</v>
      </c>
    </row>
    <row r="633" spans="1:11" x14ac:dyDescent="0.25">
      <c r="A633" t="s">
        <v>1040</v>
      </c>
      <c r="B633" t="s">
        <v>573</v>
      </c>
      <c r="C633" t="s">
        <v>119</v>
      </c>
      <c r="D633" t="s">
        <v>22</v>
      </c>
      <c r="E633">
        <v>1485.86</v>
      </c>
      <c r="F633">
        <v>9</v>
      </c>
      <c r="G633">
        <v>480.53</v>
      </c>
      <c r="H633">
        <v>0.15</v>
      </c>
      <c r="I633" t="str">
        <f>VLOOKUP(C633,[1]Sheet!$A:$D,3,FALSE)</f>
        <v>East</v>
      </c>
      <c r="J633" t="str">
        <f>VLOOKUP(C633,[1]Sheet!$A:$D,4,FALSE)</f>
        <v>Corporate</v>
      </c>
      <c r="K633">
        <f t="shared" si="9"/>
        <v>0.32340193557939512</v>
      </c>
    </row>
    <row r="634" spans="1:11" x14ac:dyDescent="0.25">
      <c r="A634" t="s">
        <v>1041</v>
      </c>
      <c r="B634" t="s">
        <v>223</v>
      </c>
      <c r="C634" t="s">
        <v>382</v>
      </c>
      <c r="D634" t="s">
        <v>11</v>
      </c>
      <c r="E634">
        <v>314.87</v>
      </c>
      <c r="F634">
        <v>9</v>
      </c>
      <c r="G634">
        <v>100.6</v>
      </c>
      <c r="H634">
        <v>0</v>
      </c>
      <c r="I634" t="str">
        <f>VLOOKUP(C634,[1]Sheet!$A:$D,3,FALSE)</f>
        <v>West</v>
      </c>
      <c r="J634" t="str">
        <f>VLOOKUP(C634,[1]Sheet!$A:$D,4,FALSE)</f>
        <v>Home Office</v>
      </c>
      <c r="K634">
        <f t="shared" si="9"/>
        <v>0.31949693524311618</v>
      </c>
    </row>
    <row r="635" spans="1:11" x14ac:dyDescent="0.25">
      <c r="A635" t="s">
        <v>1042</v>
      </c>
      <c r="B635" t="s">
        <v>624</v>
      </c>
      <c r="C635" t="s">
        <v>313</v>
      </c>
      <c r="D635" t="s">
        <v>22</v>
      </c>
      <c r="E635">
        <v>920.23</v>
      </c>
      <c r="F635">
        <v>1</v>
      </c>
      <c r="G635">
        <v>310.01</v>
      </c>
      <c r="H635">
        <v>0</v>
      </c>
      <c r="I635" t="str">
        <f>VLOOKUP(C635,[1]Sheet!$A:$D,3,FALSE)</f>
        <v>East</v>
      </c>
      <c r="J635" t="str">
        <f>VLOOKUP(C635,[1]Sheet!$A:$D,4,FALSE)</f>
        <v>Consumer</v>
      </c>
      <c r="K635">
        <f t="shared" si="9"/>
        <v>0.3368831705117199</v>
      </c>
    </row>
    <row r="636" spans="1:11" x14ac:dyDescent="0.25">
      <c r="A636" t="s">
        <v>1043</v>
      </c>
      <c r="B636" t="s">
        <v>461</v>
      </c>
      <c r="C636" t="s">
        <v>418</v>
      </c>
      <c r="D636" t="s">
        <v>11</v>
      </c>
      <c r="E636">
        <v>3384.64</v>
      </c>
      <c r="F636">
        <v>2</v>
      </c>
      <c r="G636">
        <v>954.72</v>
      </c>
      <c r="H636">
        <v>0.05</v>
      </c>
      <c r="I636" t="str">
        <f>VLOOKUP(C636,[1]Sheet!$A:$D,3,FALSE)</f>
        <v>South</v>
      </c>
      <c r="J636" t="str">
        <f>VLOOKUP(C636,[1]Sheet!$A:$D,4,FALSE)</f>
        <v>Home Office</v>
      </c>
      <c r="K636">
        <f t="shared" si="9"/>
        <v>0.2820743121868205</v>
      </c>
    </row>
    <row r="637" spans="1:11" x14ac:dyDescent="0.25">
      <c r="A637" t="s">
        <v>1044</v>
      </c>
      <c r="B637" t="s">
        <v>951</v>
      </c>
      <c r="C637" t="s">
        <v>28</v>
      </c>
      <c r="D637" t="s">
        <v>22</v>
      </c>
      <c r="E637">
        <v>4160.87</v>
      </c>
      <c r="F637">
        <v>2</v>
      </c>
      <c r="G637">
        <v>1304.81</v>
      </c>
      <c r="H637">
        <v>0.05</v>
      </c>
      <c r="I637" t="str">
        <f>VLOOKUP(C637,[1]Sheet!$A:$D,3,FALSE)</f>
        <v>East</v>
      </c>
      <c r="J637" t="str">
        <f>VLOOKUP(C637,[1]Sheet!$A:$D,4,FALSE)</f>
        <v>Consumer</v>
      </c>
      <c r="K637">
        <f t="shared" si="9"/>
        <v>0.3135906673363984</v>
      </c>
    </row>
    <row r="638" spans="1:11" x14ac:dyDescent="0.25">
      <c r="A638" t="s">
        <v>1045</v>
      </c>
      <c r="B638" t="s">
        <v>534</v>
      </c>
      <c r="C638" t="s">
        <v>97</v>
      </c>
      <c r="D638" t="s">
        <v>15</v>
      </c>
      <c r="E638">
        <v>2350.1999999999998</v>
      </c>
      <c r="F638">
        <v>1</v>
      </c>
      <c r="G638">
        <v>351.39</v>
      </c>
      <c r="H638">
        <v>0.05</v>
      </c>
      <c r="I638" t="str">
        <f>VLOOKUP(C638,[1]Sheet!$A:$D,3,FALSE)</f>
        <v>North</v>
      </c>
      <c r="J638" t="str">
        <f>VLOOKUP(C638,[1]Sheet!$A:$D,4,FALSE)</f>
        <v>Home Office</v>
      </c>
      <c r="K638">
        <f t="shared" si="9"/>
        <v>0.14951493489915751</v>
      </c>
    </row>
    <row r="639" spans="1:11" x14ac:dyDescent="0.25">
      <c r="A639" t="s">
        <v>1046</v>
      </c>
      <c r="B639" t="s">
        <v>101</v>
      </c>
      <c r="C639" t="s">
        <v>267</v>
      </c>
      <c r="D639" t="s">
        <v>11</v>
      </c>
      <c r="E639">
        <v>2834.61</v>
      </c>
      <c r="F639">
        <v>7</v>
      </c>
      <c r="G639">
        <v>630.66999999999996</v>
      </c>
      <c r="H639">
        <v>0.15</v>
      </c>
      <c r="I639" t="str">
        <f>VLOOKUP(C639,[1]Sheet!$A:$D,3,FALSE)</f>
        <v>East</v>
      </c>
      <c r="J639" t="str">
        <f>VLOOKUP(C639,[1]Sheet!$A:$D,4,FALSE)</f>
        <v>Consumer</v>
      </c>
      <c r="K639">
        <f t="shared" si="9"/>
        <v>0.22248916076638406</v>
      </c>
    </row>
    <row r="640" spans="1:11" x14ac:dyDescent="0.25">
      <c r="A640" t="s">
        <v>1047</v>
      </c>
      <c r="B640" t="s">
        <v>500</v>
      </c>
      <c r="C640" t="s">
        <v>151</v>
      </c>
      <c r="D640" t="s">
        <v>11</v>
      </c>
      <c r="E640">
        <v>3188.06</v>
      </c>
      <c r="F640">
        <v>2</v>
      </c>
      <c r="G640">
        <v>573.55999999999995</v>
      </c>
      <c r="H640">
        <v>0.2</v>
      </c>
      <c r="I640" t="str">
        <f>VLOOKUP(C640,[1]Sheet!$A:$D,3,FALSE)</f>
        <v>North</v>
      </c>
      <c r="J640" t="str">
        <f>VLOOKUP(C640,[1]Sheet!$A:$D,4,FALSE)</f>
        <v>Consumer</v>
      </c>
      <c r="K640">
        <f t="shared" si="9"/>
        <v>0.17990878465273549</v>
      </c>
    </row>
    <row r="641" spans="1:11" x14ac:dyDescent="0.25">
      <c r="A641" t="s">
        <v>1048</v>
      </c>
      <c r="B641" t="s">
        <v>159</v>
      </c>
      <c r="C641" t="s">
        <v>682</v>
      </c>
      <c r="D641" t="s">
        <v>15</v>
      </c>
      <c r="E641">
        <v>3242.97</v>
      </c>
      <c r="F641">
        <v>2</v>
      </c>
      <c r="G641">
        <v>763.74</v>
      </c>
      <c r="H641">
        <v>0.1</v>
      </c>
      <c r="I641" t="str">
        <f>VLOOKUP(C641,[1]Sheet!$A:$D,3,FALSE)</f>
        <v>North</v>
      </c>
      <c r="J641" t="str">
        <f>VLOOKUP(C641,[1]Sheet!$A:$D,4,FALSE)</f>
        <v>Consumer</v>
      </c>
      <c r="K641">
        <f t="shared" si="9"/>
        <v>0.23550634140926374</v>
      </c>
    </row>
    <row r="642" spans="1:11" x14ac:dyDescent="0.25">
      <c r="A642" t="s">
        <v>1049</v>
      </c>
      <c r="B642" t="s">
        <v>781</v>
      </c>
      <c r="C642" t="s">
        <v>291</v>
      </c>
      <c r="D642" t="s">
        <v>22</v>
      </c>
      <c r="E642">
        <v>620.05999999999995</v>
      </c>
      <c r="F642">
        <v>2</v>
      </c>
      <c r="G642">
        <v>177.38</v>
      </c>
      <c r="H642">
        <v>0.1</v>
      </c>
      <c r="I642" t="str">
        <f>VLOOKUP(C642,[1]Sheet!$A:$D,3,FALSE)</f>
        <v>East</v>
      </c>
      <c r="J642" t="str">
        <f>VLOOKUP(C642,[1]Sheet!$A:$D,4,FALSE)</f>
        <v>Home Office</v>
      </c>
      <c r="K642">
        <f t="shared" si="9"/>
        <v>0.28606909008805603</v>
      </c>
    </row>
    <row r="643" spans="1:11" x14ac:dyDescent="0.25">
      <c r="A643" t="s">
        <v>1050</v>
      </c>
      <c r="B643" t="s">
        <v>637</v>
      </c>
      <c r="C643" t="s">
        <v>227</v>
      </c>
      <c r="D643" t="s">
        <v>15</v>
      </c>
      <c r="E643">
        <v>4640.79</v>
      </c>
      <c r="F643">
        <v>8</v>
      </c>
      <c r="G643">
        <v>763.06</v>
      </c>
      <c r="H643">
        <v>0.05</v>
      </c>
      <c r="I643" t="str">
        <f>VLOOKUP(C643,[1]Sheet!$A:$D,3,FALSE)</f>
        <v>South</v>
      </c>
      <c r="J643" t="str">
        <f>VLOOKUP(C643,[1]Sheet!$A:$D,4,FALSE)</f>
        <v>Home Office</v>
      </c>
      <c r="K643">
        <f t="shared" ref="K643:K706" si="10">G643/E643</f>
        <v>0.16442459150273983</v>
      </c>
    </row>
    <row r="644" spans="1:11" x14ac:dyDescent="0.25">
      <c r="A644" t="s">
        <v>1051</v>
      </c>
      <c r="B644" t="s">
        <v>1052</v>
      </c>
      <c r="C644" t="s">
        <v>28</v>
      </c>
      <c r="D644" t="s">
        <v>11</v>
      </c>
      <c r="E644">
        <v>1177.3399999999999</v>
      </c>
      <c r="F644">
        <v>3</v>
      </c>
      <c r="G644">
        <v>322.62</v>
      </c>
      <c r="H644">
        <v>0.1</v>
      </c>
      <c r="I644" t="str">
        <f>VLOOKUP(C644,[1]Sheet!$A:$D,3,FALSE)</f>
        <v>East</v>
      </c>
      <c r="J644" t="str">
        <f>VLOOKUP(C644,[1]Sheet!$A:$D,4,FALSE)</f>
        <v>Consumer</v>
      </c>
      <c r="K644">
        <f t="shared" si="10"/>
        <v>0.27402449589753175</v>
      </c>
    </row>
    <row r="645" spans="1:11" x14ac:dyDescent="0.25">
      <c r="A645" t="s">
        <v>1053</v>
      </c>
      <c r="B645" t="s">
        <v>510</v>
      </c>
      <c r="C645" t="s">
        <v>51</v>
      </c>
      <c r="D645" t="s">
        <v>11</v>
      </c>
      <c r="E645">
        <v>4446.1899999999996</v>
      </c>
      <c r="F645">
        <v>1</v>
      </c>
      <c r="G645">
        <v>1509.97</v>
      </c>
      <c r="H645">
        <v>0.2</v>
      </c>
      <c r="I645" t="str">
        <f>VLOOKUP(C645,[1]Sheet!$A:$D,3,FALSE)</f>
        <v>South</v>
      </c>
      <c r="J645" t="str">
        <f>VLOOKUP(C645,[1]Sheet!$A:$D,4,FALSE)</f>
        <v>Consumer</v>
      </c>
      <c r="K645">
        <f t="shared" si="10"/>
        <v>0.33960986822425498</v>
      </c>
    </row>
    <row r="646" spans="1:11" x14ac:dyDescent="0.25">
      <c r="A646" t="s">
        <v>1054</v>
      </c>
      <c r="B646" t="s">
        <v>878</v>
      </c>
      <c r="C646" t="s">
        <v>243</v>
      </c>
      <c r="D646" t="s">
        <v>22</v>
      </c>
      <c r="E646">
        <v>792.73</v>
      </c>
      <c r="F646">
        <v>7</v>
      </c>
      <c r="G646">
        <v>49.57</v>
      </c>
      <c r="H646">
        <v>0.2</v>
      </c>
      <c r="I646" t="str">
        <f>VLOOKUP(C646,[1]Sheet!$A:$D,3,FALSE)</f>
        <v>North</v>
      </c>
      <c r="J646" t="str">
        <f>VLOOKUP(C646,[1]Sheet!$A:$D,4,FALSE)</f>
        <v>Home Office</v>
      </c>
      <c r="K646">
        <f t="shared" si="10"/>
        <v>6.2530748174031509E-2</v>
      </c>
    </row>
    <row r="647" spans="1:11" x14ac:dyDescent="0.25">
      <c r="A647" t="s">
        <v>1055</v>
      </c>
      <c r="B647" t="s">
        <v>955</v>
      </c>
      <c r="C647" t="s">
        <v>221</v>
      </c>
      <c r="D647" t="s">
        <v>15</v>
      </c>
      <c r="E647">
        <v>4740.2</v>
      </c>
      <c r="F647">
        <v>7</v>
      </c>
      <c r="G647">
        <v>670.3</v>
      </c>
      <c r="H647">
        <v>0.2</v>
      </c>
      <c r="I647" t="str">
        <f>VLOOKUP(C647,[1]Sheet!$A:$D,3,FALSE)</f>
        <v>South</v>
      </c>
      <c r="J647" t="str">
        <f>VLOOKUP(C647,[1]Sheet!$A:$D,4,FALSE)</f>
        <v>Corporate</v>
      </c>
      <c r="K647">
        <f t="shared" si="10"/>
        <v>0.14140753554702332</v>
      </c>
    </row>
    <row r="648" spans="1:11" x14ac:dyDescent="0.25">
      <c r="A648" t="s">
        <v>1056</v>
      </c>
      <c r="B648" t="s">
        <v>175</v>
      </c>
      <c r="C648" t="s">
        <v>318</v>
      </c>
      <c r="D648" t="s">
        <v>15</v>
      </c>
      <c r="E648">
        <v>888.68</v>
      </c>
      <c r="F648">
        <v>2</v>
      </c>
      <c r="G648">
        <v>103.3</v>
      </c>
      <c r="H648">
        <v>0.05</v>
      </c>
      <c r="I648" t="str">
        <f>VLOOKUP(C648,[1]Sheet!$A:$D,3,FALSE)</f>
        <v>West</v>
      </c>
      <c r="J648" t="str">
        <f>VLOOKUP(C648,[1]Sheet!$A:$D,4,FALSE)</f>
        <v>Consumer</v>
      </c>
      <c r="K648">
        <f t="shared" si="10"/>
        <v>0.11623981635684386</v>
      </c>
    </row>
    <row r="649" spans="1:11" x14ac:dyDescent="0.25">
      <c r="A649" t="s">
        <v>1057</v>
      </c>
      <c r="B649" t="s">
        <v>220</v>
      </c>
      <c r="C649" t="s">
        <v>59</v>
      </c>
      <c r="D649" t="s">
        <v>11</v>
      </c>
      <c r="E649">
        <v>4018.33</v>
      </c>
      <c r="F649">
        <v>9</v>
      </c>
      <c r="G649">
        <v>1228.3</v>
      </c>
      <c r="H649">
        <v>0</v>
      </c>
      <c r="I649" t="str">
        <f>VLOOKUP(C649,[1]Sheet!$A:$D,3,FALSE)</f>
        <v>West</v>
      </c>
      <c r="J649" t="str">
        <f>VLOOKUP(C649,[1]Sheet!$A:$D,4,FALSE)</f>
        <v>Consumer</v>
      </c>
      <c r="K649">
        <f t="shared" si="10"/>
        <v>0.30567424775964142</v>
      </c>
    </row>
    <row r="650" spans="1:11" x14ac:dyDescent="0.25">
      <c r="A650" t="s">
        <v>1058</v>
      </c>
      <c r="B650" t="s">
        <v>255</v>
      </c>
      <c r="C650" t="s">
        <v>495</v>
      </c>
      <c r="D650" t="s">
        <v>22</v>
      </c>
      <c r="E650">
        <v>3391.26</v>
      </c>
      <c r="F650">
        <v>10</v>
      </c>
      <c r="G650">
        <v>424.61</v>
      </c>
      <c r="H650">
        <v>0.15</v>
      </c>
      <c r="I650" t="str">
        <f>VLOOKUP(C650,[1]Sheet!$A:$D,3,FALSE)</f>
        <v>South</v>
      </c>
      <c r="J650" t="str">
        <f>VLOOKUP(C650,[1]Sheet!$A:$D,4,FALSE)</f>
        <v>Home Office</v>
      </c>
      <c r="K650">
        <f t="shared" si="10"/>
        <v>0.12520715014478395</v>
      </c>
    </row>
    <row r="651" spans="1:11" x14ac:dyDescent="0.25">
      <c r="A651" t="s">
        <v>1059</v>
      </c>
      <c r="B651" t="s">
        <v>992</v>
      </c>
      <c r="C651" t="s">
        <v>456</v>
      </c>
      <c r="D651" t="s">
        <v>15</v>
      </c>
      <c r="E651">
        <v>1849.98</v>
      </c>
      <c r="F651">
        <v>5</v>
      </c>
      <c r="G651">
        <v>465.06</v>
      </c>
      <c r="H651">
        <v>0.2</v>
      </c>
      <c r="I651" t="str">
        <f>VLOOKUP(C651,[1]Sheet!$A:$D,3,FALSE)</f>
        <v>East</v>
      </c>
      <c r="J651" t="str">
        <f>VLOOKUP(C651,[1]Sheet!$A:$D,4,FALSE)</f>
        <v>Consumer</v>
      </c>
      <c r="K651">
        <f t="shared" si="10"/>
        <v>0.25138650147569164</v>
      </c>
    </row>
    <row r="652" spans="1:11" x14ac:dyDescent="0.25">
      <c r="A652" t="s">
        <v>1060</v>
      </c>
      <c r="B652" t="s">
        <v>526</v>
      </c>
      <c r="C652" t="s">
        <v>311</v>
      </c>
      <c r="D652" t="s">
        <v>11</v>
      </c>
      <c r="E652">
        <v>4510.58</v>
      </c>
      <c r="F652">
        <v>10</v>
      </c>
      <c r="G652">
        <v>655.55</v>
      </c>
      <c r="H652">
        <v>0.1</v>
      </c>
      <c r="I652" t="str">
        <f>VLOOKUP(C652,[1]Sheet!$A:$D,3,FALSE)</f>
        <v>North</v>
      </c>
      <c r="J652" t="str">
        <f>VLOOKUP(C652,[1]Sheet!$A:$D,4,FALSE)</f>
        <v>Home Office</v>
      </c>
      <c r="K652">
        <f t="shared" si="10"/>
        <v>0.14533607651344171</v>
      </c>
    </row>
    <row r="653" spans="1:11" x14ac:dyDescent="0.25">
      <c r="A653" t="s">
        <v>1061</v>
      </c>
      <c r="B653" t="s">
        <v>1062</v>
      </c>
      <c r="C653" t="s">
        <v>215</v>
      </c>
      <c r="D653" t="s">
        <v>11</v>
      </c>
      <c r="E653">
        <v>2962.43</v>
      </c>
      <c r="F653">
        <v>7</v>
      </c>
      <c r="G653">
        <v>650.74</v>
      </c>
      <c r="H653">
        <v>0.05</v>
      </c>
      <c r="I653" t="str">
        <f>VLOOKUP(C653,[1]Sheet!$A:$D,3,FALSE)</f>
        <v>South</v>
      </c>
      <c r="J653" t="str">
        <f>VLOOKUP(C653,[1]Sheet!$A:$D,4,FALSE)</f>
        <v>Corporate</v>
      </c>
      <c r="K653">
        <f t="shared" si="10"/>
        <v>0.21966426210914688</v>
      </c>
    </row>
    <row r="654" spans="1:11" x14ac:dyDescent="0.25">
      <c r="A654" t="s">
        <v>1063</v>
      </c>
      <c r="B654" t="s">
        <v>1064</v>
      </c>
      <c r="C654" t="s">
        <v>682</v>
      </c>
      <c r="D654" t="s">
        <v>22</v>
      </c>
      <c r="E654">
        <v>1634.75</v>
      </c>
      <c r="F654">
        <v>7</v>
      </c>
      <c r="G654">
        <v>467.04</v>
      </c>
      <c r="H654">
        <v>0.1</v>
      </c>
      <c r="I654" t="str">
        <f>VLOOKUP(C654,[1]Sheet!$A:$D,3,FALSE)</f>
        <v>North</v>
      </c>
      <c r="J654" t="str">
        <f>VLOOKUP(C654,[1]Sheet!$A:$D,4,FALSE)</f>
        <v>Consumer</v>
      </c>
      <c r="K654">
        <f t="shared" si="10"/>
        <v>0.28569506040679005</v>
      </c>
    </row>
    <row r="655" spans="1:11" x14ac:dyDescent="0.25">
      <c r="A655" t="s">
        <v>1065</v>
      </c>
      <c r="B655" t="s">
        <v>379</v>
      </c>
      <c r="C655" t="s">
        <v>116</v>
      </c>
      <c r="D655" t="s">
        <v>11</v>
      </c>
      <c r="E655">
        <v>758.1</v>
      </c>
      <c r="F655">
        <v>8</v>
      </c>
      <c r="G655">
        <v>204.61</v>
      </c>
      <c r="H655">
        <v>0.1</v>
      </c>
      <c r="I655" t="str">
        <f>VLOOKUP(C655,[1]Sheet!$A:$D,3,FALSE)</f>
        <v>South</v>
      </c>
      <c r="J655" t="str">
        <f>VLOOKUP(C655,[1]Sheet!$A:$D,4,FALSE)</f>
        <v>Home Office</v>
      </c>
      <c r="K655">
        <f t="shared" si="10"/>
        <v>0.26989843028624194</v>
      </c>
    </row>
    <row r="656" spans="1:11" x14ac:dyDescent="0.25">
      <c r="A656" t="s">
        <v>1066</v>
      </c>
      <c r="B656" t="s">
        <v>420</v>
      </c>
      <c r="C656" t="s">
        <v>453</v>
      </c>
      <c r="D656" t="s">
        <v>22</v>
      </c>
      <c r="E656">
        <v>1596.81</v>
      </c>
      <c r="F656">
        <v>10</v>
      </c>
      <c r="G656">
        <v>344.12</v>
      </c>
      <c r="H656">
        <v>0</v>
      </c>
      <c r="I656" t="str">
        <f>VLOOKUP(C656,[1]Sheet!$A:$D,3,FALSE)</f>
        <v>North</v>
      </c>
      <c r="J656" t="str">
        <f>VLOOKUP(C656,[1]Sheet!$A:$D,4,FALSE)</f>
        <v>Home Office</v>
      </c>
      <c r="K656">
        <f t="shared" si="10"/>
        <v>0.21550466242070129</v>
      </c>
    </row>
    <row r="657" spans="1:11" x14ac:dyDescent="0.25">
      <c r="A657" t="s">
        <v>1067</v>
      </c>
      <c r="B657" t="s">
        <v>624</v>
      </c>
      <c r="C657" t="s">
        <v>176</v>
      </c>
      <c r="D657" t="s">
        <v>15</v>
      </c>
      <c r="E657">
        <v>4307.7</v>
      </c>
      <c r="F657">
        <v>5</v>
      </c>
      <c r="G657">
        <v>396.31</v>
      </c>
      <c r="H657">
        <v>0</v>
      </c>
      <c r="I657" t="str">
        <f>VLOOKUP(C657,[1]Sheet!$A:$D,3,FALSE)</f>
        <v>East</v>
      </c>
      <c r="J657" t="str">
        <f>VLOOKUP(C657,[1]Sheet!$A:$D,4,FALSE)</f>
        <v>Home Office</v>
      </c>
      <c r="K657">
        <f t="shared" si="10"/>
        <v>9.2000371427908165E-2</v>
      </c>
    </row>
    <row r="658" spans="1:11" x14ac:dyDescent="0.25">
      <c r="A658" t="s">
        <v>1068</v>
      </c>
      <c r="B658" t="s">
        <v>397</v>
      </c>
      <c r="C658" t="s">
        <v>110</v>
      </c>
      <c r="D658" t="s">
        <v>22</v>
      </c>
      <c r="E658">
        <v>469.46</v>
      </c>
      <c r="F658">
        <v>1</v>
      </c>
      <c r="G658">
        <v>26.1</v>
      </c>
      <c r="H658">
        <v>0.2</v>
      </c>
      <c r="I658" t="str">
        <f>VLOOKUP(C658,[1]Sheet!$A:$D,3,FALSE)</f>
        <v>West</v>
      </c>
      <c r="J658" t="str">
        <f>VLOOKUP(C658,[1]Sheet!$A:$D,4,FALSE)</f>
        <v>Consumer</v>
      </c>
      <c r="K658">
        <f t="shared" si="10"/>
        <v>5.5595790908703625E-2</v>
      </c>
    </row>
    <row r="659" spans="1:11" x14ac:dyDescent="0.25">
      <c r="A659" t="s">
        <v>1069</v>
      </c>
      <c r="B659" t="s">
        <v>608</v>
      </c>
      <c r="C659" t="s">
        <v>88</v>
      </c>
      <c r="D659" t="s">
        <v>22</v>
      </c>
      <c r="E659">
        <v>2085.16</v>
      </c>
      <c r="F659">
        <v>5</v>
      </c>
      <c r="G659">
        <v>473.35</v>
      </c>
      <c r="H659">
        <v>0.2</v>
      </c>
      <c r="I659" t="str">
        <f>VLOOKUP(C659,[1]Sheet!$A:$D,3,FALSE)</f>
        <v>North</v>
      </c>
      <c r="J659" t="str">
        <f>VLOOKUP(C659,[1]Sheet!$A:$D,4,FALSE)</f>
        <v>Home Office</v>
      </c>
      <c r="K659">
        <f t="shared" si="10"/>
        <v>0.22700895854514763</v>
      </c>
    </row>
    <row r="660" spans="1:11" x14ac:dyDescent="0.25">
      <c r="A660" t="s">
        <v>1070</v>
      </c>
      <c r="B660" t="s">
        <v>341</v>
      </c>
      <c r="C660" t="s">
        <v>68</v>
      </c>
      <c r="D660" t="s">
        <v>11</v>
      </c>
      <c r="E660">
        <v>2413.31</v>
      </c>
      <c r="F660">
        <v>4</v>
      </c>
      <c r="G660">
        <v>681.9</v>
      </c>
      <c r="H660">
        <v>0.2</v>
      </c>
      <c r="I660" t="str">
        <f>VLOOKUP(C660,[1]Sheet!$A:$D,3,FALSE)</f>
        <v>East</v>
      </c>
      <c r="J660" t="str">
        <f>VLOOKUP(C660,[1]Sheet!$A:$D,4,FALSE)</f>
        <v>Corporate</v>
      </c>
      <c r="K660">
        <f t="shared" si="10"/>
        <v>0.28255798053296094</v>
      </c>
    </row>
    <row r="661" spans="1:11" x14ac:dyDescent="0.25">
      <c r="A661" t="s">
        <v>1071</v>
      </c>
      <c r="B661" t="s">
        <v>1072</v>
      </c>
      <c r="C661" t="s">
        <v>110</v>
      </c>
      <c r="D661" t="s">
        <v>22</v>
      </c>
      <c r="E661">
        <v>4300.1000000000004</v>
      </c>
      <c r="F661">
        <v>2</v>
      </c>
      <c r="G661">
        <v>387.72</v>
      </c>
      <c r="H661">
        <v>0.15</v>
      </c>
      <c r="I661" t="str">
        <f>VLOOKUP(C661,[1]Sheet!$A:$D,3,FALSE)</f>
        <v>West</v>
      </c>
      <c r="J661" t="str">
        <f>VLOOKUP(C661,[1]Sheet!$A:$D,4,FALSE)</f>
        <v>Consumer</v>
      </c>
      <c r="K661">
        <f t="shared" si="10"/>
        <v>9.0165344991976926E-2</v>
      </c>
    </row>
    <row r="662" spans="1:11" x14ac:dyDescent="0.25">
      <c r="A662" t="s">
        <v>1073</v>
      </c>
      <c r="B662" t="s">
        <v>1074</v>
      </c>
      <c r="C662" t="s">
        <v>116</v>
      </c>
      <c r="D662" t="s">
        <v>22</v>
      </c>
      <c r="E662">
        <v>2560.62</v>
      </c>
      <c r="F662">
        <v>3</v>
      </c>
      <c r="G662">
        <v>637.09</v>
      </c>
      <c r="H662">
        <v>0.2</v>
      </c>
      <c r="I662" t="str">
        <f>VLOOKUP(C662,[1]Sheet!$A:$D,3,FALSE)</f>
        <v>South</v>
      </c>
      <c r="J662" t="str">
        <f>VLOOKUP(C662,[1]Sheet!$A:$D,4,FALSE)</f>
        <v>Home Office</v>
      </c>
      <c r="K662">
        <f t="shared" si="10"/>
        <v>0.24880302426756024</v>
      </c>
    </row>
    <row r="663" spans="1:11" x14ac:dyDescent="0.25">
      <c r="A663" t="s">
        <v>1075</v>
      </c>
      <c r="B663" t="s">
        <v>1076</v>
      </c>
      <c r="C663" t="s">
        <v>355</v>
      </c>
      <c r="D663" t="s">
        <v>22</v>
      </c>
      <c r="E663">
        <v>2286.48</v>
      </c>
      <c r="F663">
        <v>3</v>
      </c>
      <c r="G663">
        <v>237.21</v>
      </c>
      <c r="H663">
        <v>0.15</v>
      </c>
      <c r="I663" t="str">
        <f>VLOOKUP(C663,[1]Sheet!$A:$D,3,FALSE)</f>
        <v>North</v>
      </c>
      <c r="J663" t="str">
        <f>VLOOKUP(C663,[1]Sheet!$A:$D,4,FALSE)</f>
        <v>Consumer</v>
      </c>
      <c r="K663">
        <f t="shared" si="10"/>
        <v>0.10374462055211504</v>
      </c>
    </row>
    <row r="664" spans="1:11" x14ac:dyDescent="0.25">
      <c r="A664" t="s">
        <v>1077</v>
      </c>
      <c r="B664" t="s">
        <v>1078</v>
      </c>
      <c r="C664" t="s">
        <v>91</v>
      </c>
      <c r="D664" t="s">
        <v>15</v>
      </c>
      <c r="E664">
        <v>298.06</v>
      </c>
      <c r="F664">
        <v>5</v>
      </c>
      <c r="G664">
        <v>82.99</v>
      </c>
      <c r="H664">
        <v>0.1</v>
      </c>
      <c r="I664" t="str">
        <f>VLOOKUP(C664,[1]Sheet!$A:$D,3,FALSE)</f>
        <v>East</v>
      </c>
      <c r="J664" t="str">
        <f>VLOOKUP(C664,[1]Sheet!$A:$D,4,FALSE)</f>
        <v>Consumer</v>
      </c>
      <c r="K664">
        <f t="shared" si="10"/>
        <v>0.27843387237468964</v>
      </c>
    </row>
    <row r="665" spans="1:11" x14ac:dyDescent="0.25">
      <c r="A665" t="s">
        <v>1079</v>
      </c>
      <c r="B665" t="s">
        <v>497</v>
      </c>
      <c r="C665" t="s">
        <v>298</v>
      </c>
      <c r="D665" t="s">
        <v>11</v>
      </c>
      <c r="E665">
        <v>309.76</v>
      </c>
      <c r="F665">
        <v>8</v>
      </c>
      <c r="G665">
        <v>34.700000000000003</v>
      </c>
      <c r="H665">
        <v>0.15</v>
      </c>
      <c r="I665" t="str">
        <f>VLOOKUP(C665,[1]Sheet!$A:$D,3,FALSE)</f>
        <v>North</v>
      </c>
      <c r="J665" t="str">
        <f>VLOOKUP(C665,[1]Sheet!$A:$D,4,FALSE)</f>
        <v>Consumer</v>
      </c>
      <c r="K665">
        <f t="shared" si="10"/>
        <v>0.11202221074380167</v>
      </c>
    </row>
    <row r="666" spans="1:11" x14ac:dyDescent="0.25">
      <c r="A666" t="s">
        <v>1080</v>
      </c>
      <c r="B666" t="s">
        <v>90</v>
      </c>
      <c r="C666" t="s">
        <v>54</v>
      </c>
      <c r="D666" t="s">
        <v>22</v>
      </c>
      <c r="E666">
        <v>295.52999999999997</v>
      </c>
      <c r="F666">
        <v>9</v>
      </c>
      <c r="G666">
        <v>72.27</v>
      </c>
      <c r="H666">
        <v>0.1</v>
      </c>
      <c r="I666" t="str">
        <f>VLOOKUP(C666,[1]Sheet!$A:$D,3,FALSE)</f>
        <v>West</v>
      </c>
      <c r="J666" t="str">
        <f>VLOOKUP(C666,[1]Sheet!$A:$D,4,FALSE)</f>
        <v>Consumer</v>
      </c>
      <c r="K666">
        <f t="shared" si="10"/>
        <v>0.24454370114709167</v>
      </c>
    </row>
    <row r="667" spans="1:11" x14ac:dyDescent="0.25">
      <c r="A667" t="s">
        <v>1081</v>
      </c>
      <c r="B667" t="s">
        <v>420</v>
      </c>
      <c r="C667" t="s">
        <v>424</v>
      </c>
      <c r="D667" t="s">
        <v>11</v>
      </c>
      <c r="E667">
        <v>1390.25</v>
      </c>
      <c r="F667">
        <v>7</v>
      </c>
      <c r="G667">
        <v>296.55</v>
      </c>
      <c r="H667">
        <v>0.1</v>
      </c>
      <c r="I667" t="str">
        <f>VLOOKUP(C667,[1]Sheet!$A:$D,3,FALSE)</f>
        <v>South</v>
      </c>
      <c r="J667" t="str">
        <f>VLOOKUP(C667,[1]Sheet!$A:$D,4,FALSE)</f>
        <v>Consumer</v>
      </c>
      <c r="K667">
        <f t="shared" si="10"/>
        <v>0.21330695918000361</v>
      </c>
    </row>
    <row r="668" spans="1:11" x14ac:dyDescent="0.25">
      <c r="A668" t="s">
        <v>1082</v>
      </c>
      <c r="B668" t="s">
        <v>476</v>
      </c>
      <c r="C668" t="s">
        <v>359</v>
      </c>
      <c r="D668" t="s">
        <v>11</v>
      </c>
      <c r="E668">
        <v>3301.35</v>
      </c>
      <c r="F668">
        <v>7</v>
      </c>
      <c r="G668">
        <v>992.52</v>
      </c>
      <c r="H668">
        <v>0.05</v>
      </c>
      <c r="I668" t="str">
        <f>VLOOKUP(C668,[1]Sheet!$A:$D,3,FALSE)</f>
        <v>East</v>
      </c>
      <c r="J668" t="str">
        <f>VLOOKUP(C668,[1]Sheet!$A:$D,4,FALSE)</f>
        <v>Home Office</v>
      </c>
      <c r="K668">
        <f t="shared" si="10"/>
        <v>0.30064064700804216</v>
      </c>
    </row>
    <row r="669" spans="1:11" x14ac:dyDescent="0.25">
      <c r="A669" t="s">
        <v>1083</v>
      </c>
      <c r="B669" t="s">
        <v>955</v>
      </c>
      <c r="C669" t="s">
        <v>212</v>
      </c>
      <c r="D669" t="s">
        <v>11</v>
      </c>
      <c r="E669">
        <v>2088.63</v>
      </c>
      <c r="F669">
        <v>8</v>
      </c>
      <c r="G669">
        <v>616.5</v>
      </c>
      <c r="H669">
        <v>0.2</v>
      </c>
      <c r="I669" t="str">
        <f>VLOOKUP(C669,[1]Sheet!$A:$D,3,FALSE)</f>
        <v>North</v>
      </c>
      <c r="J669" t="str">
        <f>VLOOKUP(C669,[1]Sheet!$A:$D,4,FALSE)</f>
        <v>Home Office</v>
      </c>
      <c r="K669">
        <f t="shared" si="10"/>
        <v>0.29516956090834662</v>
      </c>
    </row>
    <row r="670" spans="1:11" x14ac:dyDescent="0.25">
      <c r="A670" t="s">
        <v>1084</v>
      </c>
      <c r="B670" t="s">
        <v>36</v>
      </c>
      <c r="C670" t="s">
        <v>682</v>
      </c>
      <c r="D670" t="s">
        <v>15</v>
      </c>
      <c r="E670">
        <v>2559</v>
      </c>
      <c r="F670">
        <v>2</v>
      </c>
      <c r="G670">
        <v>234.64</v>
      </c>
      <c r="H670">
        <v>0.2</v>
      </c>
      <c r="I670" t="str">
        <f>VLOOKUP(C670,[1]Sheet!$A:$D,3,FALSE)</f>
        <v>North</v>
      </c>
      <c r="J670" t="str">
        <f>VLOOKUP(C670,[1]Sheet!$A:$D,4,FALSE)</f>
        <v>Consumer</v>
      </c>
      <c r="K670">
        <f t="shared" si="10"/>
        <v>9.1692067213755363E-2</v>
      </c>
    </row>
    <row r="671" spans="1:11" x14ac:dyDescent="0.25">
      <c r="A671" t="s">
        <v>1085</v>
      </c>
      <c r="B671" t="s">
        <v>874</v>
      </c>
      <c r="C671" t="s">
        <v>286</v>
      </c>
      <c r="D671" t="s">
        <v>11</v>
      </c>
      <c r="E671">
        <v>1475.97</v>
      </c>
      <c r="F671">
        <v>10</v>
      </c>
      <c r="G671">
        <v>140.32</v>
      </c>
      <c r="H671">
        <v>0</v>
      </c>
      <c r="I671" t="str">
        <f>VLOOKUP(C671,[1]Sheet!$A:$D,3,FALSE)</f>
        <v>South</v>
      </c>
      <c r="J671" t="str">
        <f>VLOOKUP(C671,[1]Sheet!$A:$D,4,FALSE)</f>
        <v>Consumer</v>
      </c>
      <c r="K671">
        <f t="shared" si="10"/>
        <v>9.5069682988136603E-2</v>
      </c>
    </row>
    <row r="672" spans="1:11" x14ac:dyDescent="0.25">
      <c r="A672" t="s">
        <v>1086</v>
      </c>
      <c r="B672" t="s">
        <v>186</v>
      </c>
      <c r="C672" t="s">
        <v>21</v>
      </c>
      <c r="D672" t="s">
        <v>11</v>
      </c>
      <c r="E672">
        <v>1228.7</v>
      </c>
      <c r="F672">
        <v>8</v>
      </c>
      <c r="G672">
        <v>360.44</v>
      </c>
      <c r="H672">
        <v>0.15</v>
      </c>
      <c r="I672" t="str">
        <f>VLOOKUP(C672,[1]Sheet!$A:$D,3,FALSE)</f>
        <v>North</v>
      </c>
      <c r="J672" t="str">
        <f>VLOOKUP(C672,[1]Sheet!$A:$D,4,FALSE)</f>
        <v>Consumer</v>
      </c>
      <c r="K672">
        <f t="shared" si="10"/>
        <v>0.29335069585741025</v>
      </c>
    </row>
    <row r="673" spans="1:11" x14ac:dyDescent="0.25">
      <c r="A673" t="s">
        <v>1087</v>
      </c>
      <c r="B673" t="s">
        <v>96</v>
      </c>
      <c r="C673" t="s">
        <v>418</v>
      </c>
      <c r="D673" t="s">
        <v>15</v>
      </c>
      <c r="E673">
        <v>2994.88</v>
      </c>
      <c r="F673">
        <v>4</v>
      </c>
      <c r="G673">
        <v>731.28</v>
      </c>
      <c r="H673">
        <v>0</v>
      </c>
      <c r="I673" t="str">
        <f>VLOOKUP(C673,[1]Sheet!$A:$D,3,FALSE)</f>
        <v>South</v>
      </c>
      <c r="J673" t="str">
        <f>VLOOKUP(C673,[1]Sheet!$A:$D,4,FALSE)</f>
        <v>Home Office</v>
      </c>
      <c r="K673">
        <f t="shared" si="10"/>
        <v>0.24417672828293618</v>
      </c>
    </row>
    <row r="674" spans="1:11" x14ac:dyDescent="0.25">
      <c r="A674" t="s">
        <v>1088</v>
      </c>
      <c r="B674" t="s">
        <v>849</v>
      </c>
      <c r="C674" t="s">
        <v>184</v>
      </c>
      <c r="D674" t="s">
        <v>22</v>
      </c>
      <c r="E674">
        <v>2910.08</v>
      </c>
      <c r="F674">
        <v>1</v>
      </c>
      <c r="G674">
        <v>286.17</v>
      </c>
      <c r="H674">
        <v>0.2</v>
      </c>
      <c r="I674" t="str">
        <f>VLOOKUP(C674,[1]Sheet!$A:$D,3,FALSE)</f>
        <v>South</v>
      </c>
      <c r="J674" t="str">
        <f>VLOOKUP(C674,[1]Sheet!$A:$D,4,FALSE)</f>
        <v>Corporate</v>
      </c>
      <c r="K674">
        <f t="shared" si="10"/>
        <v>9.8337502749065331E-2</v>
      </c>
    </row>
    <row r="675" spans="1:11" x14ac:dyDescent="0.25">
      <c r="A675" t="s">
        <v>1089</v>
      </c>
      <c r="B675" t="s">
        <v>463</v>
      </c>
      <c r="C675" t="s">
        <v>318</v>
      </c>
      <c r="D675" t="s">
        <v>22</v>
      </c>
      <c r="E675">
        <v>373.97</v>
      </c>
      <c r="F675">
        <v>7</v>
      </c>
      <c r="G675">
        <v>47.67</v>
      </c>
      <c r="H675">
        <v>0.2</v>
      </c>
      <c r="I675" t="str">
        <f>VLOOKUP(C675,[1]Sheet!$A:$D,3,FALSE)</f>
        <v>West</v>
      </c>
      <c r="J675" t="str">
        <f>VLOOKUP(C675,[1]Sheet!$A:$D,4,FALSE)</f>
        <v>Consumer</v>
      </c>
      <c r="K675">
        <f t="shared" si="10"/>
        <v>0.12747011792389765</v>
      </c>
    </row>
    <row r="676" spans="1:11" x14ac:dyDescent="0.25">
      <c r="A676" t="s">
        <v>1090</v>
      </c>
      <c r="B676" t="s">
        <v>637</v>
      </c>
      <c r="C676" t="s">
        <v>62</v>
      </c>
      <c r="D676" t="s">
        <v>11</v>
      </c>
      <c r="E676">
        <v>3224.35</v>
      </c>
      <c r="F676">
        <v>2</v>
      </c>
      <c r="G676">
        <v>1011</v>
      </c>
      <c r="H676">
        <v>0.05</v>
      </c>
      <c r="I676" t="str">
        <f>VLOOKUP(C676,[1]Sheet!$A:$D,3,FALSE)</f>
        <v>East</v>
      </c>
      <c r="J676" t="str">
        <f>VLOOKUP(C676,[1]Sheet!$A:$D,4,FALSE)</f>
        <v>Home Office</v>
      </c>
      <c r="K676">
        <f t="shared" si="10"/>
        <v>0.31355156853319277</v>
      </c>
    </row>
    <row r="677" spans="1:11" x14ac:dyDescent="0.25">
      <c r="A677" t="s">
        <v>1091</v>
      </c>
      <c r="B677" t="s">
        <v>343</v>
      </c>
      <c r="C677" t="s">
        <v>151</v>
      </c>
      <c r="D677" t="s">
        <v>15</v>
      </c>
      <c r="E677">
        <v>3071.98</v>
      </c>
      <c r="F677">
        <v>4</v>
      </c>
      <c r="G677">
        <v>588.04999999999995</v>
      </c>
      <c r="H677">
        <v>0.15</v>
      </c>
      <c r="I677" t="str">
        <f>VLOOKUP(C677,[1]Sheet!$A:$D,3,FALSE)</f>
        <v>North</v>
      </c>
      <c r="J677" t="str">
        <f>VLOOKUP(C677,[1]Sheet!$A:$D,4,FALSE)</f>
        <v>Consumer</v>
      </c>
      <c r="K677">
        <f t="shared" si="10"/>
        <v>0.19142377229018417</v>
      </c>
    </row>
    <row r="678" spans="1:11" x14ac:dyDescent="0.25">
      <c r="A678" t="s">
        <v>1092</v>
      </c>
      <c r="B678" t="s">
        <v>207</v>
      </c>
      <c r="C678" t="s">
        <v>230</v>
      </c>
      <c r="D678" t="s">
        <v>22</v>
      </c>
      <c r="E678">
        <v>799.29</v>
      </c>
      <c r="F678">
        <v>9</v>
      </c>
      <c r="G678">
        <v>179.68</v>
      </c>
      <c r="H678">
        <v>0.1</v>
      </c>
      <c r="I678" t="str">
        <f>VLOOKUP(C678,[1]Sheet!$A:$D,3,FALSE)</f>
        <v>South</v>
      </c>
      <c r="J678" t="str">
        <f>VLOOKUP(C678,[1]Sheet!$A:$D,4,FALSE)</f>
        <v>Consumer</v>
      </c>
      <c r="K678">
        <f t="shared" si="10"/>
        <v>0.22479950956473874</v>
      </c>
    </row>
    <row r="679" spans="1:11" x14ac:dyDescent="0.25">
      <c r="A679" t="s">
        <v>1093</v>
      </c>
      <c r="B679" t="s">
        <v>172</v>
      </c>
      <c r="C679" t="s">
        <v>187</v>
      </c>
      <c r="D679" t="s">
        <v>22</v>
      </c>
      <c r="E679">
        <v>3648.52</v>
      </c>
      <c r="F679">
        <v>10</v>
      </c>
      <c r="G679">
        <v>557.5</v>
      </c>
      <c r="H679">
        <v>0</v>
      </c>
      <c r="I679" t="str">
        <f>VLOOKUP(C679,[1]Sheet!$A:$D,3,FALSE)</f>
        <v>West</v>
      </c>
      <c r="J679" t="str">
        <f>VLOOKUP(C679,[1]Sheet!$A:$D,4,FALSE)</f>
        <v>Home Office</v>
      </c>
      <c r="K679">
        <f t="shared" si="10"/>
        <v>0.15280168397048666</v>
      </c>
    </row>
    <row r="680" spans="1:11" x14ac:dyDescent="0.25">
      <c r="A680" t="s">
        <v>1094</v>
      </c>
      <c r="B680" t="s">
        <v>500</v>
      </c>
      <c r="C680" t="s">
        <v>298</v>
      </c>
      <c r="D680" t="s">
        <v>15</v>
      </c>
      <c r="E680">
        <v>1953.24</v>
      </c>
      <c r="F680">
        <v>9</v>
      </c>
      <c r="G680">
        <v>175.14</v>
      </c>
      <c r="H680">
        <v>0.2</v>
      </c>
      <c r="I680" t="str">
        <f>VLOOKUP(C680,[1]Sheet!$A:$D,3,FALSE)</f>
        <v>North</v>
      </c>
      <c r="J680" t="str">
        <f>VLOOKUP(C680,[1]Sheet!$A:$D,4,FALSE)</f>
        <v>Consumer</v>
      </c>
      <c r="K680">
        <f t="shared" si="10"/>
        <v>8.9666400442341948E-2</v>
      </c>
    </row>
    <row r="681" spans="1:11" x14ac:dyDescent="0.25">
      <c r="A681" t="s">
        <v>1095</v>
      </c>
      <c r="B681" t="s">
        <v>392</v>
      </c>
      <c r="C681" t="s">
        <v>76</v>
      </c>
      <c r="D681" t="s">
        <v>15</v>
      </c>
      <c r="E681">
        <v>2157</v>
      </c>
      <c r="F681">
        <v>8</v>
      </c>
      <c r="G681">
        <v>204.63</v>
      </c>
      <c r="H681">
        <v>0.2</v>
      </c>
      <c r="I681" t="str">
        <f>VLOOKUP(C681,[1]Sheet!$A:$D,3,FALSE)</f>
        <v>West</v>
      </c>
      <c r="J681" t="str">
        <f>VLOOKUP(C681,[1]Sheet!$A:$D,4,FALSE)</f>
        <v>Home Office</v>
      </c>
      <c r="K681">
        <f t="shared" si="10"/>
        <v>9.4867872044506252E-2</v>
      </c>
    </row>
    <row r="682" spans="1:11" x14ac:dyDescent="0.25">
      <c r="A682" t="s">
        <v>1096</v>
      </c>
      <c r="B682" t="s">
        <v>472</v>
      </c>
      <c r="C682" t="s">
        <v>230</v>
      </c>
      <c r="D682" t="s">
        <v>15</v>
      </c>
      <c r="E682">
        <v>291.27999999999997</v>
      </c>
      <c r="F682">
        <v>2</v>
      </c>
      <c r="G682">
        <v>83.06</v>
      </c>
      <c r="H682">
        <v>0.15</v>
      </c>
      <c r="I682" t="str">
        <f>VLOOKUP(C682,[1]Sheet!$A:$D,3,FALSE)</f>
        <v>South</v>
      </c>
      <c r="J682" t="str">
        <f>VLOOKUP(C682,[1]Sheet!$A:$D,4,FALSE)</f>
        <v>Consumer</v>
      </c>
      <c r="K682">
        <f t="shared" si="10"/>
        <v>0.28515517714913491</v>
      </c>
    </row>
    <row r="683" spans="1:11" x14ac:dyDescent="0.25">
      <c r="A683" t="s">
        <v>1097</v>
      </c>
      <c r="B683" t="s">
        <v>112</v>
      </c>
      <c r="C683" t="s">
        <v>21</v>
      </c>
      <c r="D683" t="s">
        <v>22</v>
      </c>
      <c r="E683">
        <v>738.61</v>
      </c>
      <c r="F683">
        <v>7</v>
      </c>
      <c r="G683">
        <v>170.65</v>
      </c>
      <c r="H683">
        <v>0.2</v>
      </c>
      <c r="I683" t="str">
        <f>VLOOKUP(C683,[1]Sheet!$A:$D,3,FALSE)</f>
        <v>North</v>
      </c>
      <c r="J683" t="str">
        <f>VLOOKUP(C683,[1]Sheet!$A:$D,4,FALSE)</f>
        <v>Consumer</v>
      </c>
      <c r="K683">
        <f t="shared" si="10"/>
        <v>0.23104209257930436</v>
      </c>
    </row>
    <row r="684" spans="1:11" x14ac:dyDescent="0.25">
      <c r="A684" t="s">
        <v>1098</v>
      </c>
      <c r="B684" t="s">
        <v>656</v>
      </c>
      <c r="C684" t="s">
        <v>138</v>
      </c>
      <c r="D684" t="s">
        <v>11</v>
      </c>
      <c r="E684">
        <v>1914.85</v>
      </c>
      <c r="F684">
        <v>4</v>
      </c>
      <c r="G684">
        <v>120.7</v>
      </c>
      <c r="H684">
        <v>0.15</v>
      </c>
      <c r="I684" t="str">
        <f>VLOOKUP(C684,[1]Sheet!$A:$D,3,FALSE)</f>
        <v>West</v>
      </c>
      <c r="J684" t="str">
        <f>VLOOKUP(C684,[1]Sheet!$A:$D,4,FALSE)</f>
        <v>Home Office</v>
      </c>
      <c r="K684">
        <f t="shared" si="10"/>
        <v>6.3033657988876418E-2</v>
      </c>
    </row>
    <row r="685" spans="1:11" x14ac:dyDescent="0.25">
      <c r="A685" t="s">
        <v>1099</v>
      </c>
      <c r="B685" t="s">
        <v>137</v>
      </c>
      <c r="C685" t="s">
        <v>466</v>
      </c>
      <c r="D685" t="s">
        <v>22</v>
      </c>
      <c r="E685">
        <v>1968.06</v>
      </c>
      <c r="F685">
        <v>2</v>
      </c>
      <c r="G685">
        <v>446.19</v>
      </c>
      <c r="H685">
        <v>0.15</v>
      </c>
      <c r="I685" t="str">
        <f>VLOOKUP(C685,[1]Sheet!$A:$D,3,FALSE)</f>
        <v>South</v>
      </c>
      <c r="J685" t="str">
        <f>VLOOKUP(C685,[1]Sheet!$A:$D,4,FALSE)</f>
        <v>Consumer</v>
      </c>
      <c r="K685">
        <f t="shared" si="10"/>
        <v>0.22671564891314289</v>
      </c>
    </row>
    <row r="686" spans="1:11" x14ac:dyDescent="0.25">
      <c r="A686" t="s">
        <v>1100</v>
      </c>
      <c r="B686" t="s">
        <v>1101</v>
      </c>
      <c r="C686" t="s">
        <v>355</v>
      </c>
      <c r="D686" t="s">
        <v>11</v>
      </c>
      <c r="E686">
        <v>1347.14</v>
      </c>
      <c r="F686">
        <v>10</v>
      </c>
      <c r="G686">
        <v>376.87</v>
      </c>
      <c r="H686">
        <v>0.2</v>
      </c>
      <c r="I686" t="str">
        <f>VLOOKUP(C686,[1]Sheet!$A:$D,3,FALSE)</f>
        <v>North</v>
      </c>
      <c r="J686" t="str">
        <f>VLOOKUP(C686,[1]Sheet!$A:$D,4,FALSE)</f>
        <v>Consumer</v>
      </c>
      <c r="K686">
        <f t="shared" si="10"/>
        <v>0.27975563044672414</v>
      </c>
    </row>
    <row r="687" spans="1:11" x14ac:dyDescent="0.25">
      <c r="A687" t="s">
        <v>1102</v>
      </c>
      <c r="B687" t="s">
        <v>678</v>
      </c>
      <c r="C687" t="s">
        <v>251</v>
      </c>
      <c r="D687" t="s">
        <v>22</v>
      </c>
      <c r="E687">
        <v>1363.24</v>
      </c>
      <c r="F687">
        <v>9</v>
      </c>
      <c r="G687">
        <v>70.400000000000006</v>
      </c>
      <c r="H687">
        <v>0</v>
      </c>
      <c r="I687" t="str">
        <f>VLOOKUP(C687,[1]Sheet!$A:$D,3,FALSE)</f>
        <v>East</v>
      </c>
      <c r="J687" t="str">
        <f>VLOOKUP(C687,[1]Sheet!$A:$D,4,FALSE)</f>
        <v>Home Office</v>
      </c>
      <c r="K687">
        <f t="shared" si="10"/>
        <v>5.16416771808339E-2</v>
      </c>
    </row>
    <row r="688" spans="1:11" x14ac:dyDescent="0.25">
      <c r="A688" t="s">
        <v>1103</v>
      </c>
      <c r="B688" t="s">
        <v>583</v>
      </c>
      <c r="C688" t="s">
        <v>212</v>
      </c>
      <c r="D688" t="s">
        <v>11</v>
      </c>
      <c r="E688">
        <v>135.25</v>
      </c>
      <c r="F688">
        <v>7</v>
      </c>
      <c r="G688">
        <v>33.32</v>
      </c>
      <c r="H688">
        <v>0.1</v>
      </c>
      <c r="I688" t="str">
        <f>VLOOKUP(C688,[1]Sheet!$A:$D,3,FALSE)</f>
        <v>North</v>
      </c>
      <c r="J688" t="str">
        <f>VLOOKUP(C688,[1]Sheet!$A:$D,4,FALSE)</f>
        <v>Home Office</v>
      </c>
      <c r="K688">
        <f t="shared" si="10"/>
        <v>0.24635859519408504</v>
      </c>
    </row>
    <row r="689" spans="1:11" x14ac:dyDescent="0.25">
      <c r="A689" t="s">
        <v>1104</v>
      </c>
      <c r="B689" t="s">
        <v>175</v>
      </c>
      <c r="C689" t="s">
        <v>198</v>
      </c>
      <c r="D689" t="s">
        <v>11</v>
      </c>
      <c r="E689">
        <v>858.42</v>
      </c>
      <c r="F689">
        <v>9</v>
      </c>
      <c r="G689">
        <v>210.72</v>
      </c>
      <c r="H689">
        <v>0.15</v>
      </c>
      <c r="I689" t="str">
        <f>VLOOKUP(C689,[1]Sheet!$A:$D,3,FALSE)</f>
        <v>South</v>
      </c>
      <c r="J689" t="str">
        <f>VLOOKUP(C689,[1]Sheet!$A:$D,4,FALSE)</f>
        <v>Home Office</v>
      </c>
      <c r="K689">
        <f t="shared" si="10"/>
        <v>0.24547424337736773</v>
      </c>
    </row>
    <row r="690" spans="1:11" x14ac:dyDescent="0.25">
      <c r="A690" t="s">
        <v>1105</v>
      </c>
      <c r="B690" t="s">
        <v>593</v>
      </c>
      <c r="C690" t="s">
        <v>62</v>
      </c>
      <c r="D690" t="s">
        <v>11</v>
      </c>
      <c r="E690">
        <v>1891.66</v>
      </c>
      <c r="F690">
        <v>4</v>
      </c>
      <c r="G690">
        <v>250.96</v>
      </c>
      <c r="H690">
        <v>0.15</v>
      </c>
      <c r="I690" t="str">
        <f>VLOOKUP(C690,[1]Sheet!$A:$D,3,FALSE)</f>
        <v>East</v>
      </c>
      <c r="J690" t="str">
        <f>VLOOKUP(C690,[1]Sheet!$A:$D,4,FALSE)</f>
        <v>Home Office</v>
      </c>
      <c r="K690">
        <f t="shared" si="10"/>
        <v>0.13266654684245582</v>
      </c>
    </row>
    <row r="691" spans="1:11" x14ac:dyDescent="0.25">
      <c r="A691" t="s">
        <v>1106</v>
      </c>
      <c r="B691" t="s">
        <v>64</v>
      </c>
      <c r="C691" t="s">
        <v>221</v>
      </c>
      <c r="D691" t="s">
        <v>22</v>
      </c>
      <c r="E691">
        <v>3940.56</v>
      </c>
      <c r="F691">
        <v>9</v>
      </c>
      <c r="G691">
        <v>767.39</v>
      </c>
      <c r="H691">
        <v>0.15</v>
      </c>
      <c r="I691" t="str">
        <f>VLOOKUP(C691,[1]Sheet!$A:$D,3,FALSE)</f>
        <v>South</v>
      </c>
      <c r="J691" t="str">
        <f>VLOOKUP(C691,[1]Sheet!$A:$D,4,FALSE)</f>
        <v>Corporate</v>
      </c>
      <c r="K691">
        <f t="shared" si="10"/>
        <v>0.1947413565584587</v>
      </c>
    </row>
    <row r="692" spans="1:11" x14ac:dyDescent="0.25">
      <c r="A692" t="s">
        <v>1107</v>
      </c>
      <c r="B692" t="s">
        <v>1108</v>
      </c>
      <c r="C692" t="s">
        <v>267</v>
      </c>
      <c r="D692" t="s">
        <v>11</v>
      </c>
      <c r="E692">
        <v>4943.6899999999996</v>
      </c>
      <c r="F692">
        <v>3</v>
      </c>
      <c r="G692">
        <v>1103.9000000000001</v>
      </c>
      <c r="H692">
        <v>0</v>
      </c>
      <c r="I692" t="str">
        <f>VLOOKUP(C692,[1]Sheet!$A:$D,3,FALSE)</f>
        <v>East</v>
      </c>
      <c r="J692" t="str">
        <f>VLOOKUP(C692,[1]Sheet!$A:$D,4,FALSE)</f>
        <v>Consumer</v>
      </c>
      <c r="K692">
        <f t="shared" si="10"/>
        <v>0.22329474542295333</v>
      </c>
    </row>
    <row r="693" spans="1:11" x14ac:dyDescent="0.25">
      <c r="A693" t="s">
        <v>1109</v>
      </c>
      <c r="B693" t="s">
        <v>1022</v>
      </c>
      <c r="C693" t="s">
        <v>46</v>
      </c>
      <c r="D693" t="s">
        <v>15</v>
      </c>
      <c r="E693">
        <v>1225.8800000000001</v>
      </c>
      <c r="F693">
        <v>4</v>
      </c>
      <c r="G693">
        <v>349.29</v>
      </c>
      <c r="H693">
        <v>0.2</v>
      </c>
      <c r="I693" t="str">
        <f>VLOOKUP(C693,[1]Sheet!$A:$D,3,FALSE)</f>
        <v>North</v>
      </c>
      <c r="J693" t="str">
        <f>VLOOKUP(C693,[1]Sheet!$A:$D,4,FALSE)</f>
        <v>Corporate</v>
      </c>
      <c r="K693">
        <f t="shared" si="10"/>
        <v>0.28493000946259012</v>
      </c>
    </row>
    <row r="694" spans="1:11" x14ac:dyDescent="0.25">
      <c r="A694" t="s">
        <v>1110</v>
      </c>
      <c r="B694" t="s">
        <v>1074</v>
      </c>
      <c r="C694" t="s">
        <v>104</v>
      </c>
      <c r="D694" t="s">
        <v>22</v>
      </c>
      <c r="E694">
        <v>3951.8</v>
      </c>
      <c r="F694">
        <v>1</v>
      </c>
      <c r="G694">
        <v>1147.03</v>
      </c>
      <c r="H694">
        <v>0.05</v>
      </c>
      <c r="I694" t="str">
        <f>VLOOKUP(C694,[1]Sheet!$A:$D,3,FALSE)</f>
        <v>South</v>
      </c>
      <c r="J694" t="str">
        <f>VLOOKUP(C694,[1]Sheet!$A:$D,4,FALSE)</f>
        <v>Home Office</v>
      </c>
      <c r="K694">
        <f t="shared" si="10"/>
        <v>0.29025507363732983</v>
      </c>
    </row>
    <row r="695" spans="1:11" x14ac:dyDescent="0.25">
      <c r="A695" t="s">
        <v>1111</v>
      </c>
      <c r="B695" t="s">
        <v>444</v>
      </c>
      <c r="C695" t="s">
        <v>301</v>
      </c>
      <c r="D695" t="s">
        <v>15</v>
      </c>
      <c r="E695">
        <v>4826.3900000000003</v>
      </c>
      <c r="F695">
        <v>8</v>
      </c>
      <c r="G695">
        <v>248.98</v>
      </c>
      <c r="H695">
        <v>0.2</v>
      </c>
      <c r="I695" t="str">
        <f>VLOOKUP(C695,[1]Sheet!$A:$D,3,FALSE)</f>
        <v>West</v>
      </c>
      <c r="J695" t="str">
        <f>VLOOKUP(C695,[1]Sheet!$A:$D,4,FALSE)</f>
        <v>Consumer</v>
      </c>
      <c r="K695">
        <f t="shared" si="10"/>
        <v>5.1587211145390235E-2</v>
      </c>
    </row>
    <row r="696" spans="1:11" x14ac:dyDescent="0.25">
      <c r="A696" t="s">
        <v>1112</v>
      </c>
      <c r="B696" t="s">
        <v>64</v>
      </c>
      <c r="C696" t="s">
        <v>127</v>
      </c>
      <c r="D696" t="s">
        <v>15</v>
      </c>
      <c r="E696">
        <v>531.89</v>
      </c>
      <c r="F696">
        <v>10</v>
      </c>
      <c r="G696">
        <v>68.58</v>
      </c>
      <c r="H696">
        <v>0</v>
      </c>
      <c r="I696" t="str">
        <f>VLOOKUP(C696,[1]Sheet!$A:$D,3,FALSE)</f>
        <v>South</v>
      </c>
      <c r="J696" t="str">
        <f>VLOOKUP(C696,[1]Sheet!$A:$D,4,FALSE)</f>
        <v>Consumer</v>
      </c>
      <c r="K696">
        <f t="shared" si="10"/>
        <v>0.12893643422512174</v>
      </c>
    </row>
    <row r="697" spans="1:11" x14ac:dyDescent="0.25">
      <c r="A697" t="s">
        <v>1113</v>
      </c>
      <c r="B697" t="s">
        <v>1074</v>
      </c>
      <c r="C697" t="s">
        <v>119</v>
      </c>
      <c r="D697" t="s">
        <v>22</v>
      </c>
      <c r="E697">
        <v>1983.2</v>
      </c>
      <c r="F697">
        <v>9</v>
      </c>
      <c r="G697">
        <v>684.87</v>
      </c>
      <c r="H697">
        <v>0.1</v>
      </c>
      <c r="I697" t="str">
        <f>VLOOKUP(C697,[1]Sheet!$A:$D,3,FALSE)</f>
        <v>East</v>
      </c>
      <c r="J697" t="str">
        <f>VLOOKUP(C697,[1]Sheet!$A:$D,4,FALSE)</f>
        <v>Corporate</v>
      </c>
      <c r="K697">
        <f t="shared" si="10"/>
        <v>0.34533582089552239</v>
      </c>
    </row>
    <row r="698" spans="1:11" x14ac:dyDescent="0.25">
      <c r="A698" t="s">
        <v>1114</v>
      </c>
      <c r="B698" t="s">
        <v>420</v>
      </c>
      <c r="C698" t="s">
        <v>449</v>
      </c>
      <c r="D698" t="s">
        <v>22</v>
      </c>
      <c r="E698">
        <v>4821.3</v>
      </c>
      <c r="F698">
        <v>8</v>
      </c>
      <c r="G698">
        <v>324.18</v>
      </c>
      <c r="H698">
        <v>0.15</v>
      </c>
      <c r="I698" t="str">
        <f>VLOOKUP(C698,[1]Sheet!$A:$D,3,FALSE)</f>
        <v>East</v>
      </c>
      <c r="J698" t="str">
        <f>VLOOKUP(C698,[1]Sheet!$A:$D,4,FALSE)</f>
        <v>Corporate</v>
      </c>
      <c r="K698">
        <f t="shared" si="10"/>
        <v>6.7239126376703373E-2</v>
      </c>
    </row>
    <row r="699" spans="1:11" x14ac:dyDescent="0.25">
      <c r="A699" t="s">
        <v>1115</v>
      </c>
      <c r="B699" t="s">
        <v>515</v>
      </c>
      <c r="C699" t="s">
        <v>372</v>
      </c>
      <c r="D699" t="s">
        <v>11</v>
      </c>
      <c r="E699">
        <v>1088.3699999999999</v>
      </c>
      <c r="F699">
        <v>4</v>
      </c>
      <c r="G699">
        <v>268.89999999999998</v>
      </c>
      <c r="H699">
        <v>0</v>
      </c>
      <c r="I699" t="str">
        <f>VLOOKUP(C699,[1]Sheet!$A:$D,3,FALSE)</f>
        <v>East</v>
      </c>
      <c r="J699" t="str">
        <f>VLOOKUP(C699,[1]Sheet!$A:$D,4,FALSE)</f>
        <v>Consumer</v>
      </c>
      <c r="K699">
        <f t="shared" si="10"/>
        <v>0.24706671444453632</v>
      </c>
    </row>
    <row r="700" spans="1:11" x14ac:dyDescent="0.25">
      <c r="A700" t="s">
        <v>1116</v>
      </c>
      <c r="B700" t="s">
        <v>1074</v>
      </c>
      <c r="C700" t="s">
        <v>230</v>
      </c>
      <c r="D700" t="s">
        <v>15</v>
      </c>
      <c r="E700">
        <v>2601.6799999999998</v>
      </c>
      <c r="F700">
        <v>1</v>
      </c>
      <c r="G700">
        <v>675.23</v>
      </c>
      <c r="H700">
        <v>0.1</v>
      </c>
      <c r="I700" t="str">
        <f>VLOOKUP(C700,[1]Sheet!$A:$D,3,FALSE)</f>
        <v>South</v>
      </c>
      <c r="J700" t="str">
        <f>VLOOKUP(C700,[1]Sheet!$A:$D,4,FALSE)</f>
        <v>Consumer</v>
      </c>
      <c r="K700">
        <f t="shared" si="10"/>
        <v>0.25953614587497315</v>
      </c>
    </row>
    <row r="701" spans="1:11" x14ac:dyDescent="0.25">
      <c r="A701" t="s">
        <v>1117</v>
      </c>
      <c r="B701" t="s">
        <v>534</v>
      </c>
      <c r="C701" t="s">
        <v>14</v>
      </c>
      <c r="D701" t="s">
        <v>11</v>
      </c>
      <c r="E701">
        <v>3309.59</v>
      </c>
      <c r="F701">
        <v>7</v>
      </c>
      <c r="G701">
        <v>1134.18</v>
      </c>
      <c r="H701">
        <v>0.1</v>
      </c>
      <c r="I701" t="str">
        <f>VLOOKUP(C701,[1]Sheet!$A:$D,3,FALSE)</f>
        <v>North</v>
      </c>
      <c r="J701" t="str">
        <f>VLOOKUP(C701,[1]Sheet!$A:$D,4,FALSE)</f>
        <v>Corporate</v>
      </c>
      <c r="K701">
        <f t="shared" si="10"/>
        <v>0.34269501660326507</v>
      </c>
    </row>
    <row r="702" spans="1:11" x14ac:dyDescent="0.25">
      <c r="A702" t="s">
        <v>1118</v>
      </c>
      <c r="B702" t="s">
        <v>515</v>
      </c>
      <c r="C702" t="s">
        <v>59</v>
      </c>
      <c r="D702" t="s">
        <v>15</v>
      </c>
      <c r="E702">
        <v>2036.2</v>
      </c>
      <c r="F702">
        <v>2</v>
      </c>
      <c r="G702">
        <v>459.82</v>
      </c>
      <c r="H702">
        <v>0</v>
      </c>
      <c r="I702" t="str">
        <f>VLOOKUP(C702,[1]Sheet!$A:$D,3,FALSE)</f>
        <v>West</v>
      </c>
      <c r="J702" t="str">
        <f>VLOOKUP(C702,[1]Sheet!$A:$D,4,FALSE)</f>
        <v>Consumer</v>
      </c>
      <c r="K702">
        <f t="shared" si="10"/>
        <v>0.22582261074550633</v>
      </c>
    </row>
    <row r="703" spans="1:11" x14ac:dyDescent="0.25">
      <c r="A703" t="s">
        <v>1119</v>
      </c>
      <c r="B703" t="s">
        <v>53</v>
      </c>
      <c r="C703" t="s">
        <v>221</v>
      </c>
      <c r="D703" t="s">
        <v>11</v>
      </c>
      <c r="E703">
        <v>1494.02</v>
      </c>
      <c r="F703">
        <v>6</v>
      </c>
      <c r="G703">
        <v>446.61</v>
      </c>
      <c r="H703">
        <v>0.1</v>
      </c>
      <c r="I703" t="str">
        <f>VLOOKUP(C703,[1]Sheet!$A:$D,3,FALSE)</f>
        <v>South</v>
      </c>
      <c r="J703" t="str">
        <f>VLOOKUP(C703,[1]Sheet!$A:$D,4,FALSE)</f>
        <v>Corporate</v>
      </c>
      <c r="K703">
        <f t="shared" si="10"/>
        <v>0.2989317412082837</v>
      </c>
    </row>
    <row r="704" spans="1:11" x14ac:dyDescent="0.25">
      <c r="A704" t="s">
        <v>1120</v>
      </c>
      <c r="B704" t="s">
        <v>277</v>
      </c>
      <c r="C704" t="s">
        <v>218</v>
      </c>
      <c r="D704" t="s">
        <v>22</v>
      </c>
      <c r="E704">
        <v>3071.18</v>
      </c>
      <c r="F704">
        <v>1</v>
      </c>
      <c r="G704">
        <v>332.79</v>
      </c>
      <c r="H704">
        <v>0.1</v>
      </c>
      <c r="I704" t="str">
        <f>VLOOKUP(C704,[1]Sheet!$A:$D,3,FALSE)</f>
        <v>South</v>
      </c>
      <c r="J704" t="str">
        <f>VLOOKUP(C704,[1]Sheet!$A:$D,4,FALSE)</f>
        <v>Corporate</v>
      </c>
      <c r="K704">
        <f t="shared" si="10"/>
        <v>0.10835900207737743</v>
      </c>
    </row>
    <row r="705" spans="1:11" x14ac:dyDescent="0.25">
      <c r="A705" t="s">
        <v>1121</v>
      </c>
      <c r="B705" t="s">
        <v>58</v>
      </c>
      <c r="C705" t="s">
        <v>201</v>
      </c>
      <c r="D705" t="s">
        <v>22</v>
      </c>
      <c r="E705">
        <v>2094.96</v>
      </c>
      <c r="F705">
        <v>5</v>
      </c>
      <c r="G705">
        <v>171.66</v>
      </c>
      <c r="H705">
        <v>0.1</v>
      </c>
      <c r="I705" t="str">
        <f>VLOOKUP(C705,[1]Sheet!$A:$D,3,FALSE)</f>
        <v>North</v>
      </c>
      <c r="J705" t="str">
        <f>VLOOKUP(C705,[1]Sheet!$A:$D,4,FALSE)</f>
        <v>Corporate</v>
      </c>
      <c r="K705">
        <f t="shared" si="10"/>
        <v>8.1939511971588955E-2</v>
      </c>
    </row>
    <row r="706" spans="1:11" x14ac:dyDescent="0.25">
      <c r="A706" t="s">
        <v>1122</v>
      </c>
      <c r="B706" t="s">
        <v>624</v>
      </c>
      <c r="C706" t="s">
        <v>412</v>
      </c>
      <c r="D706" t="s">
        <v>22</v>
      </c>
      <c r="E706">
        <v>4034.42</v>
      </c>
      <c r="F706">
        <v>5</v>
      </c>
      <c r="G706">
        <v>1359.65</v>
      </c>
      <c r="H706">
        <v>0.15</v>
      </c>
      <c r="I706" t="str">
        <f>VLOOKUP(C706,[1]Sheet!$A:$D,3,FALSE)</f>
        <v>West</v>
      </c>
      <c r="J706" t="str">
        <f>VLOOKUP(C706,[1]Sheet!$A:$D,4,FALSE)</f>
        <v>Corporate</v>
      </c>
      <c r="K706">
        <f t="shared" si="10"/>
        <v>0.33701250737404637</v>
      </c>
    </row>
    <row r="707" spans="1:11" x14ac:dyDescent="0.25">
      <c r="A707" t="s">
        <v>1123</v>
      </c>
      <c r="B707" t="s">
        <v>404</v>
      </c>
      <c r="C707" t="s">
        <v>162</v>
      </c>
      <c r="D707" t="s">
        <v>11</v>
      </c>
      <c r="E707">
        <v>2859.53</v>
      </c>
      <c r="F707">
        <v>8</v>
      </c>
      <c r="G707">
        <v>803.5</v>
      </c>
      <c r="H707">
        <v>0.2</v>
      </c>
      <c r="I707" t="str">
        <f>VLOOKUP(C707,[1]Sheet!$A:$D,3,FALSE)</f>
        <v>West</v>
      </c>
      <c r="J707" t="str">
        <f>VLOOKUP(C707,[1]Sheet!$A:$D,4,FALSE)</f>
        <v>Corporate</v>
      </c>
      <c r="K707">
        <f t="shared" ref="K707:K770" si="11">G707/E707</f>
        <v>0.28099023266061202</v>
      </c>
    </row>
    <row r="708" spans="1:11" x14ac:dyDescent="0.25">
      <c r="A708" t="s">
        <v>1124</v>
      </c>
      <c r="B708" t="s">
        <v>1125</v>
      </c>
      <c r="C708" t="s">
        <v>97</v>
      </c>
      <c r="D708" t="s">
        <v>22</v>
      </c>
      <c r="E708">
        <v>2461.65</v>
      </c>
      <c r="F708">
        <v>4</v>
      </c>
      <c r="G708">
        <v>313.48</v>
      </c>
      <c r="H708">
        <v>0.05</v>
      </c>
      <c r="I708" t="str">
        <f>VLOOKUP(C708,[1]Sheet!$A:$D,3,FALSE)</f>
        <v>North</v>
      </c>
      <c r="J708" t="str">
        <f>VLOOKUP(C708,[1]Sheet!$A:$D,4,FALSE)</f>
        <v>Home Office</v>
      </c>
      <c r="K708">
        <f t="shared" si="11"/>
        <v>0.12734547965795301</v>
      </c>
    </row>
    <row r="709" spans="1:11" x14ac:dyDescent="0.25">
      <c r="A709" t="s">
        <v>1126</v>
      </c>
      <c r="B709" t="s">
        <v>1127</v>
      </c>
      <c r="C709" t="s">
        <v>155</v>
      </c>
      <c r="D709" t="s">
        <v>15</v>
      </c>
      <c r="E709">
        <v>2120.89</v>
      </c>
      <c r="F709">
        <v>5</v>
      </c>
      <c r="G709">
        <v>330.71</v>
      </c>
      <c r="H709">
        <v>0.05</v>
      </c>
      <c r="I709" t="str">
        <f>VLOOKUP(C709,[1]Sheet!$A:$D,3,FALSE)</f>
        <v>East</v>
      </c>
      <c r="J709" t="str">
        <f>VLOOKUP(C709,[1]Sheet!$A:$D,4,FALSE)</f>
        <v>Home Office</v>
      </c>
      <c r="K709">
        <f t="shared" si="11"/>
        <v>0.15592982191438501</v>
      </c>
    </row>
    <row r="710" spans="1:11" x14ac:dyDescent="0.25">
      <c r="A710" t="s">
        <v>1128</v>
      </c>
      <c r="B710" t="s">
        <v>1129</v>
      </c>
      <c r="C710" t="s">
        <v>324</v>
      </c>
      <c r="D710" t="s">
        <v>15</v>
      </c>
      <c r="E710">
        <v>555.75</v>
      </c>
      <c r="F710">
        <v>9</v>
      </c>
      <c r="G710">
        <v>140.11000000000001</v>
      </c>
      <c r="H710">
        <v>0.05</v>
      </c>
      <c r="I710" t="str">
        <f>VLOOKUP(C710,[1]Sheet!$A:$D,3,FALSE)</f>
        <v>North</v>
      </c>
      <c r="J710" t="str">
        <f>VLOOKUP(C710,[1]Sheet!$A:$D,4,FALSE)</f>
        <v>Home Office</v>
      </c>
      <c r="K710">
        <f t="shared" si="11"/>
        <v>0.25210976158344583</v>
      </c>
    </row>
    <row r="711" spans="1:11" x14ac:dyDescent="0.25">
      <c r="A711" t="s">
        <v>1130</v>
      </c>
      <c r="B711" t="s">
        <v>878</v>
      </c>
      <c r="C711" t="s">
        <v>18</v>
      </c>
      <c r="D711" t="s">
        <v>11</v>
      </c>
      <c r="E711">
        <v>1637.98</v>
      </c>
      <c r="F711">
        <v>3</v>
      </c>
      <c r="G711">
        <v>189.3</v>
      </c>
      <c r="H711">
        <v>0.05</v>
      </c>
      <c r="I711" t="str">
        <f>VLOOKUP(C711,[1]Sheet!$A:$D,3,FALSE)</f>
        <v>West</v>
      </c>
      <c r="J711" t="str">
        <f>VLOOKUP(C711,[1]Sheet!$A:$D,4,FALSE)</f>
        <v>Home Office</v>
      </c>
      <c r="K711">
        <f t="shared" si="11"/>
        <v>0.1155691766688238</v>
      </c>
    </row>
    <row r="712" spans="1:11" x14ac:dyDescent="0.25">
      <c r="A712" t="s">
        <v>1131</v>
      </c>
      <c r="B712" t="s">
        <v>494</v>
      </c>
      <c r="C712" t="s">
        <v>492</v>
      </c>
      <c r="D712" t="s">
        <v>11</v>
      </c>
      <c r="E712">
        <v>3711.85</v>
      </c>
      <c r="F712">
        <v>4</v>
      </c>
      <c r="G712">
        <v>447.12</v>
      </c>
      <c r="H712">
        <v>0.05</v>
      </c>
      <c r="I712" t="str">
        <f>VLOOKUP(C712,[1]Sheet!$A:$D,3,FALSE)</f>
        <v>West</v>
      </c>
      <c r="J712" t="str">
        <f>VLOOKUP(C712,[1]Sheet!$A:$D,4,FALSE)</f>
        <v>Home Office</v>
      </c>
      <c r="K712">
        <f t="shared" si="11"/>
        <v>0.12045745383030027</v>
      </c>
    </row>
    <row r="713" spans="1:11" x14ac:dyDescent="0.25">
      <c r="A713" t="s">
        <v>1132</v>
      </c>
      <c r="B713" t="s">
        <v>1133</v>
      </c>
      <c r="C713" t="s">
        <v>135</v>
      </c>
      <c r="D713" t="s">
        <v>15</v>
      </c>
      <c r="E713">
        <v>4191.21</v>
      </c>
      <c r="F713">
        <v>2</v>
      </c>
      <c r="G713">
        <v>1261.1400000000001</v>
      </c>
      <c r="H713">
        <v>0</v>
      </c>
      <c r="I713" t="str">
        <f>VLOOKUP(C713,[1]Sheet!$A:$D,3,FALSE)</f>
        <v>East</v>
      </c>
      <c r="J713" t="str">
        <f>VLOOKUP(C713,[1]Sheet!$A:$D,4,FALSE)</f>
        <v>Home Office</v>
      </c>
      <c r="K713">
        <f t="shared" si="11"/>
        <v>0.30090117173799452</v>
      </c>
    </row>
    <row r="714" spans="1:11" x14ac:dyDescent="0.25">
      <c r="A714" t="s">
        <v>1134</v>
      </c>
      <c r="B714" t="s">
        <v>1074</v>
      </c>
      <c r="C714" t="s">
        <v>320</v>
      </c>
      <c r="D714" t="s">
        <v>15</v>
      </c>
      <c r="E714">
        <v>3411.48</v>
      </c>
      <c r="F714">
        <v>9</v>
      </c>
      <c r="G714">
        <v>849.55</v>
      </c>
      <c r="H714">
        <v>0</v>
      </c>
      <c r="I714" t="str">
        <f>VLOOKUP(C714,[1]Sheet!$A:$D,3,FALSE)</f>
        <v>West</v>
      </c>
      <c r="J714" t="str">
        <f>VLOOKUP(C714,[1]Sheet!$A:$D,4,FALSE)</f>
        <v>Consumer</v>
      </c>
      <c r="K714">
        <f t="shared" si="11"/>
        <v>0.24902681534114224</v>
      </c>
    </row>
    <row r="715" spans="1:11" x14ac:dyDescent="0.25">
      <c r="A715" t="s">
        <v>1135</v>
      </c>
      <c r="B715" t="s">
        <v>1136</v>
      </c>
      <c r="C715" t="s">
        <v>238</v>
      </c>
      <c r="D715" t="s">
        <v>11</v>
      </c>
      <c r="E715">
        <v>1918.86</v>
      </c>
      <c r="F715">
        <v>8</v>
      </c>
      <c r="G715">
        <v>277.52</v>
      </c>
      <c r="H715">
        <v>0.05</v>
      </c>
      <c r="I715" t="str">
        <f>VLOOKUP(C715,[1]Sheet!$A:$D,3,FALSE)</f>
        <v>North</v>
      </c>
      <c r="J715" t="str">
        <f>VLOOKUP(C715,[1]Sheet!$A:$D,4,FALSE)</f>
        <v>Corporate</v>
      </c>
      <c r="K715">
        <f t="shared" si="11"/>
        <v>0.14462753926810709</v>
      </c>
    </row>
    <row r="716" spans="1:11" x14ac:dyDescent="0.25">
      <c r="A716" t="s">
        <v>1137</v>
      </c>
      <c r="B716" t="s">
        <v>431</v>
      </c>
      <c r="C716" t="s">
        <v>227</v>
      </c>
      <c r="D716" t="s">
        <v>22</v>
      </c>
      <c r="E716">
        <v>4588.43</v>
      </c>
      <c r="F716">
        <v>3</v>
      </c>
      <c r="G716">
        <v>615.22</v>
      </c>
      <c r="H716">
        <v>0</v>
      </c>
      <c r="I716" t="str">
        <f>VLOOKUP(C716,[1]Sheet!$A:$D,3,FALSE)</f>
        <v>South</v>
      </c>
      <c r="J716" t="str">
        <f>VLOOKUP(C716,[1]Sheet!$A:$D,4,FALSE)</f>
        <v>Home Office</v>
      </c>
      <c r="K716">
        <f t="shared" si="11"/>
        <v>0.13408072042071034</v>
      </c>
    </row>
    <row r="717" spans="1:11" x14ac:dyDescent="0.25">
      <c r="A717" t="s">
        <v>1138</v>
      </c>
      <c r="B717" t="s">
        <v>13</v>
      </c>
      <c r="C717" t="s">
        <v>415</v>
      </c>
      <c r="D717" t="s">
        <v>15</v>
      </c>
      <c r="E717">
        <v>4016.42</v>
      </c>
      <c r="F717">
        <v>9</v>
      </c>
      <c r="G717">
        <v>777.16</v>
      </c>
      <c r="H717">
        <v>0.1</v>
      </c>
      <c r="I717" t="str">
        <f>VLOOKUP(C717,[1]Sheet!$A:$D,3,FALSE)</f>
        <v>East</v>
      </c>
      <c r="J717" t="str">
        <f>VLOOKUP(C717,[1]Sheet!$A:$D,4,FALSE)</f>
        <v>Home Office</v>
      </c>
      <c r="K717">
        <f t="shared" si="11"/>
        <v>0.19349570015088063</v>
      </c>
    </row>
    <row r="718" spans="1:11" x14ac:dyDescent="0.25">
      <c r="A718" t="s">
        <v>1139</v>
      </c>
      <c r="B718" t="s">
        <v>506</v>
      </c>
      <c r="C718" t="s">
        <v>432</v>
      </c>
      <c r="D718" t="s">
        <v>15</v>
      </c>
      <c r="E718">
        <v>4315.96</v>
      </c>
      <c r="F718">
        <v>9</v>
      </c>
      <c r="G718">
        <v>1220.43</v>
      </c>
      <c r="H718">
        <v>0.15</v>
      </c>
      <c r="I718" t="str">
        <f>VLOOKUP(C718,[1]Sheet!$A:$D,3,FALSE)</f>
        <v>East</v>
      </c>
      <c r="J718" t="str">
        <f>VLOOKUP(C718,[1]Sheet!$A:$D,4,FALSE)</f>
        <v>Consumer</v>
      </c>
      <c r="K718">
        <f t="shared" si="11"/>
        <v>0.28277138805734992</v>
      </c>
    </row>
    <row r="719" spans="1:11" x14ac:dyDescent="0.25">
      <c r="A719" t="s">
        <v>1140</v>
      </c>
      <c r="B719" t="s">
        <v>1141</v>
      </c>
      <c r="C719" t="s">
        <v>155</v>
      </c>
      <c r="D719" t="s">
        <v>11</v>
      </c>
      <c r="E719">
        <v>3477.13</v>
      </c>
      <c r="F719">
        <v>10</v>
      </c>
      <c r="G719">
        <v>186.19</v>
      </c>
      <c r="H719">
        <v>0</v>
      </c>
      <c r="I719" t="str">
        <f>VLOOKUP(C719,[1]Sheet!$A:$D,3,FALSE)</f>
        <v>East</v>
      </c>
      <c r="J719" t="str">
        <f>VLOOKUP(C719,[1]Sheet!$A:$D,4,FALSE)</f>
        <v>Home Office</v>
      </c>
      <c r="K719">
        <f t="shared" si="11"/>
        <v>5.354703447958517E-2</v>
      </c>
    </row>
    <row r="720" spans="1:11" x14ac:dyDescent="0.25">
      <c r="A720" t="s">
        <v>1142</v>
      </c>
      <c r="B720" t="s">
        <v>48</v>
      </c>
      <c r="C720" t="s">
        <v>428</v>
      </c>
      <c r="D720" t="s">
        <v>22</v>
      </c>
      <c r="E720">
        <v>1871.85</v>
      </c>
      <c r="F720">
        <v>5</v>
      </c>
      <c r="G720">
        <v>577.55999999999995</v>
      </c>
      <c r="H720">
        <v>0.05</v>
      </c>
      <c r="I720" t="str">
        <f>VLOOKUP(C720,[1]Sheet!$A:$D,3,FALSE)</f>
        <v>South</v>
      </c>
      <c r="J720" t="str">
        <f>VLOOKUP(C720,[1]Sheet!$A:$D,4,FALSE)</f>
        <v>Home Office</v>
      </c>
      <c r="K720">
        <f t="shared" si="11"/>
        <v>0.30855036461254909</v>
      </c>
    </row>
    <row r="721" spans="1:11" x14ac:dyDescent="0.25">
      <c r="A721" t="s">
        <v>1143</v>
      </c>
      <c r="B721" t="s">
        <v>341</v>
      </c>
      <c r="C721" t="s">
        <v>224</v>
      </c>
      <c r="D721" t="s">
        <v>15</v>
      </c>
      <c r="E721">
        <v>2409.59</v>
      </c>
      <c r="F721">
        <v>8</v>
      </c>
      <c r="G721">
        <v>563.66</v>
      </c>
      <c r="H721">
        <v>0.15</v>
      </c>
      <c r="I721" t="str">
        <f>VLOOKUP(C721,[1]Sheet!$A:$D,3,FALSE)</f>
        <v>South</v>
      </c>
      <c r="J721" t="str">
        <f>VLOOKUP(C721,[1]Sheet!$A:$D,4,FALSE)</f>
        <v>Home Office</v>
      </c>
      <c r="K721">
        <f t="shared" si="11"/>
        <v>0.23392361356081323</v>
      </c>
    </row>
    <row r="722" spans="1:11" x14ac:dyDescent="0.25">
      <c r="A722" t="s">
        <v>1144</v>
      </c>
      <c r="B722" t="s">
        <v>1062</v>
      </c>
      <c r="C722" t="s">
        <v>418</v>
      </c>
      <c r="D722" t="s">
        <v>11</v>
      </c>
      <c r="E722">
        <v>2153.56</v>
      </c>
      <c r="F722">
        <v>5</v>
      </c>
      <c r="G722">
        <v>593.65</v>
      </c>
      <c r="H722">
        <v>0.15</v>
      </c>
      <c r="I722" t="str">
        <f>VLOOKUP(C722,[1]Sheet!$A:$D,3,FALSE)</f>
        <v>South</v>
      </c>
      <c r="J722" t="str">
        <f>VLOOKUP(C722,[1]Sheet!$A:$D,4,FALSE)</f>
        <v>Home Office</v>
      </c>
      <c r="K722">
        <f t="shared" si="11"/>
        <v>0.27565983766414681</v>
      </c>
    </row>
    <row r="723" spans="1:11" x14ac:dyDescent="0.25">
      <c r="A723" t="s">
        <v>1145</v>
      </c>
      <c r="B723" t="s">
        <v>1146</v>
      </c>
      <c r="C723" t="s">
        <v>676</v>
      </c>
      <c r="D723" t="s">
        <v>15</v>
      </c>
      <c r="E723">
        <v>2899.91</v>
      </c>
      <c r="F723">
        <v>2</v>
      </c>
      <c r="G723">
        <v>996.94</v>
      </c>
      <c r="H723">
        <v>0.1</v>
      </c>
      <c r="I723" t="str">
        <f>VLOOKUP(C723,[1]Sheet!$A:$D,3,FALSE)</f>
        <v>North</v>
      </c>
      <c r="J723" t="str">
        <f>VLOOKUP(C723,[1]Sheet!$A:$D,4,FALSE)</f>
        <v>Home Office</v>
      </c>
      <c r="K723">
        <f t="shared" si="11"/>
        <v>0.34378308292326315</v>
      </c>
    </row>
    <row r="724" spans="1:11" x14ac:dyDescent="0.25">
      <c r="A724" t="s">
        <v>1147</v>
      </c>
      <c r="B724" t="s">
        <v>1148</v>
      </c>
      <c r="C724" t="s">
        <v>14</v>
      </c>
      <c r="D724" t="s">
        <v>15</v>
      </c>
      <c r="E724">
        <v>2821.17</v>
      </c>
      <c r="F724">
        <v>3</v>
      </c>
      <c r="G724">
        <v>865.8</v>
      </c>
      <c r="H724">
        <v>0.15</v>
      </c>
      <c r="I724" t="str">
        <f>VLOOKUP(C724,[1]Sheet!$A:$D,3,FALSE)</f>
        <v>North</v>
      </c>
      <c r="J724" t="str">
        <f>VLOOKUP(C724,[1]Sheet!$A:$D,4,FALSE)</f>
        <v>Corporate</v>
      </c>
      <c r="K724">
        <f t="shared" si="11"/>
        <v>0.30689394825551097</v>
      </c>
    </row>
    <row r="725" spans="1:11" x14ac:dyDescent="0.25">
      <c r="A725" t="s">
        <v>1149</v>
      </c>
      <c r="B725" t="s">
        <v>849</v>
      </c>
      <c r="C725" t="s">
        <v>372</v>
      </c>
      <c r="D725" t="s">
        <v>22</v>
      </c>
      <c r="E725">
        <v>965.38</v>
      </c>
      <c r="F725">
        <v>9</v>
      </c>
      <c r="G725">
        <v>192.96</v>
      </c>
      <c r="H725">
        <v>0.1</v>
      </c>
      <c r="I725" t="str">
        <f>VLOOKUP(C725,[1]Sheet!$A:$D,3,FALSE)</f>
        <v>East</v>
      </c>
      <c r="J725" t="str">
        <f>VLOOKUP(C725,[1]Sheet!$A:$D,4,FALSE)</f>
        <v>Consumer</v>
      </c>
      <c r="K725">
        <f t="shared" si="11"/>
        <v>0.1998798400629804</v>
      </c>
    </row>
    <row r="726" spans="1:11" x14ac:dyDescent="0.25">
      <c r="A726" t="s">
        <v>1150</v>
      </c>
      <c r="B726" t="s">
        <v>408</v>
      </c>
      <c r="C726" t="s">
        <v>382</v>
      </c>
      <c r="D726" t="s">
        <v>15</v>
      </c>
      <c r="E726">
        <v>1570.17</v>
      </c>
      <c r="F726">
        <v>7</v>
      </c>
      <c r="G726">
        <v>343.3</v>
      </c>
      <c r="H726">
        <v>0</v>
      </c>
      <c r="I726" t="str">
        <f>VLOOKUP(C726,[1]Sheet!$A:$D,3,FALSE)</f>
        <v>West</v>
      </c>
      <c r="J726" t="str">
        <f>VLOOKUP(C726,[1]Sheet!$A:$D,4,FALSE)</f>
        <v>Home Office</v>
      </c>
      <c r="K726">
        <f t="shared" si="11"/>
        <v>0.21863874612303127</v>
      </c>
    </row>
    <row r="727" spans="1:11" x14ac:dyDescent="0.25">
      <c r="A727" t="s">
        <v>1151</v>
      </c>
      <c r="B727" t="s">
        <v>1003</v>
      </c>
      <c r="C727" t="s">
        <v>215</v>
      </c>
      <c r="D727" t="s">
        <v>11</v>
      </c>
      <c r="E727">
        <v>900.38</v>
      </c>
      <c r="F727">
        <v>2</v>
      </c>
      <c r="G727">
        <v>103.22</v>
      </c>
      <c r="H727">
        <v>0.15</v>
      </c>
      <c r="I727" t="str">
        <f>VLOOKUP(C727,[1]Sheet!$A:$D,3,FALSE)</f>
        <v>South</v>
      </c>
      <c r="J727" t="str">
        <f>VLOOKUP(C727,[1]Sheet!$A:$D,4,FALSE)</f>
        <v>Corporate</v>
      </c>
      <c r="K727">
        <f t="shared" si="11"/>
        <v>0.11464048512850129</v>
      </c>
    </row>
    <row r="728" spans="1:11" x14ac:dyDescent="0.25">
      <c r="A728" t="s">
        <v>1152</v>
      </c>
      <c r="B728" t="s">
        <v>459</v>
      </c>
      <c r="C728" t="s">
        <v>46</v>
      </c>
      <c r="D728" t="s">
        <v>22</v>
      </c>
      <c r="E728">
        <v>1739.82</v>
      </c>
      <c r="F728">
        <v>5</v>
      </c>
      <c r="G728">
        <v>275.39</v>
      </c>
      <c r="H728">
        <v>0.1</v>
      </c>
      <c r="I728" t="str">
        <f>VLOOKUP(C728,[1]Sheet!$A:$D,3,FALSE)</f>
        <v>North</v>
      </c>
      <c r="J728" t="str">
        <f>VLOOKUP(C728,[1]Sheet!$A:$D,4,FALSE)</f>
        <v>Corporate</v>
      </c>
      <c r="K728">
        <f t="shared" si="11"/>
        <v>0.15828648940695014</v>
      </c>
    </row>
    <row r="729" spans="1:11" x14ac:dyDescent="0.25">
      <c r="A729" t="s">
        <v>1153</v>
      </c>
      <c r="B729" t="s">
        <v>335</v>
      </c>
      <c r="C729" t="s">
        <v>331</v>
      </c>
      <c r="D729" t="s">
        <v>22</v>
      </c>
      <c r="E729">
        <v>2117.63</v>
      </c>
      <c r="F729">
        <v>4</v>
      </c>
      <c r="G729">
        <v>328.93</v>
      </c>
      <c r="H729">
        <v>0.2</v>
      </c>
      <c r="I729" t="str">
        <f>VLOOKUP(C729,[1]Sheet!$A:$D,3,FALSE)</f>
        <v>South</v>
      </c>
      <c r="J729" t="str">
        <f>VLOOKUP(C729,[1]Sheet!$A:$D,4,FALSE)</f>
        <v>Consumer</v>
      </c>
      <c r="K729">
        <f t="shared" si="11"/>
        <v>0.15532930681941604</v>
      </c>
    </row>
    <row r="730" spans="1:11" x14ac:dyDescent="0.25">
      <c r="A730" t="s">
        <v>1154</v>
      </c>
      <c r="B730" t="s">
        <v>455</v>
      </c>
      <c r="C730" t="s">
        <v>235</v>
      </c>
      <c r="D730" t="s">
        <v>11</v>
      </c>
      <c r="E730">
        <v>3284.34</v>
      </c>
      <c r="F730">
        <v>6</v>
      </c>
      <c r="G730">
        <v>694.74</v>
      </c>
      <c r="H730">
        <v>0.2</v>
      </c>
      <c r="I730" t="str">
        <f>VLOOKUP(C730,[1]Sheet!$A:$D,3,FALSE)</f>
        <v>South</v>
      </c>
      <c r="J730" t="str">
        <f>VLOOKUP(C730,[1]Sheet!$A:$D,4,FALSE)</f>
        <v>Home Office</v>
      </c>
      <c r="K730">
        <f t="shared" si="11"/>
        <v>0.21153108387073202</v>
      </c>
    </row>
    <row r="731" spans="1:11" x14ac:dyDescent="0.25">
      <c r="A731" t="s">
        <v>1155</v>
      </c>
      <c r="B731" t="s">
        <v>1156</v>
      </c>
      <c r="C731" t="s">
        <v>382</v>
      </c>
      <c r="D731" t="s">
        <v>11</v>
      </c>
      <c r="E731">
        <v>3896.25</v>
      </c>
      <c r="F731">
        <v>10</v>
      </c>
      <c r="G731">
        <v>717.22</v>
      </c>
      <c r="H731">
        <v>0.1</v>
      </c>
      <c r="I731" t="str">
        <f>VLOOKUP(C731,[1]Sheet!$A:$D,3,FALSE)</f>
        <v>West</v>
      </c>
      <c r="J731" t="str">
        <f>VLOOKUP(C731,[1]Sheet!$A:$D,4,FALSE)</f>
        <v>Home Office</v>
      </c>
      <c r="K731">
        <f t="shared" si="11"/>
        <v>0.18407956368302855</v>
      </c>
    </row>
    <row r="732" spans="1:11" x14ac:dyDescent="0.25">
      <c r="A732" t="s">
        <v>1157</v>
      </c>
      <c r="B732" t="s">
        <v>33</v>
      </c>
      <c r="C732" t="s">
        <v>146</v>
      </c>
      <c r="D732" t="s">
        <v>22</v>
      </c>
      <c r="E732">
        <v>3195.39</v>
      </c>
      <c r="F732">
        <v>6</v>
      </c>
      <c r="G732">
        <v>298.62</v>
      </c>
      <c r="H732">
        <v>0.15</v>
      </c>
      <c r="I732" t="str">
        <f>VLOOKUP(C732,[1]Sheet!$A:$D,3,FALSE)</f>
        <v>South</v>
      </c>
      <c r="J732" t="str">
        <f>VLOOKUP(C732,[1]Sheet!$A:$D,4,FALSE)</f>
        <v>Home Office</v>
      </c>
      <c r="K732">
        <f t="shared" si="11"/>
        <v>9.3453381277402769E-2</v>
      </c>
    </row>
    <row r="733" spans="1:11" x14ac:dyDescent="0.25">
      <c r="A733" t="s">
        <v>1158</v>
      </c>
      <c r="B733" t="s">
        <v>253</v>
      </c>
      <c r="C733" t="s">
        <v>10</v>
      </c>
      <c r="D733" t="s">
        <v>15</v>
      </c>
      <c r="E733">
        <v>3100.32</v>
      </c>
      <c r="F733">
        <v>3</v>
      </c>
      <c r="G733">
        <v>531.49</v>
      </c>
      <c r="H733">
        <v>0.1</v>
      </c>
      <c r="I733" t="str">
        <f>VLOOKUP(C733,[1]Sheet!$A:$D,3,FALSE)</f>
        <v>North</v>
      </c>
      <c r="J733" t="str">
        <f>VLOOKUP(C733,[1]Sheet!$A:$D,4,FALSE)</f>
        <v>Consumer</v>
      </c>
      <c r="K733">
        <f t="shared" si="11"/>
        <v>0.17143069102544253</v>
      </c>
    </row>
    <row r="734" spans="1:11" x14ac:dyDescent="0.25">
      <c r="A734" t="s">
        <v>1159</v>
      </c>
      <c r="B734" t="s">
        <v>547</v>
      </c>
      <c r="C734" t="s">
        <v>298</v>
      </c>
      <c r="D734" t="s">
        <v>11</v>
      </c>
      <c r="E734">
        <v>1636.06</v>
      </c>
      <c r="F734">
        <v>10</v>
      </c>
      <c r="G734">
        <v>402.31</v>
      </c>
      <c r="H734">
        <v>0.15</v>
      </c>
      <c r="I734" t="str">
        <f>VLOOKUP(C734,[1]Sheet!$A:$D,3,FALSE)</f>
        <v>North</v>
      </c>
      <c r="J734" t="str">
        <f>VLOOKUP(C734,[1]Sheet!$A:$D,4,FALSE)</f>
        <v>Consumer</v>
      </c>
      <c r="K734">
        <f t="shared" si="11"/>
        <v>0.24590173954500447</v>
      </c>
    </row>
    <row r="735" spans="1:11" x14ac:dyDescent="0.25">
      <c r="A735" t="s">
        <v>1160</v>
      </c>
      <c r="B735" t="s">
        <v>279</v>
      </c>
      <c r="C735" t="s">
        <v>224</v>
      </c>
      <c r="D735" t="s">
        <v>22</v>
      </c>
      <c r="E735">
        <v>4449.6899999999996</v>
      </c>
      <c r="F735">
        <v>10</v>
      </c>
      <c r="G735">
        <v>1265.01</v>
      </c>
      <c r="H735">
        <v>0.2</v>
      </c>
      <c r="I735" t="str">
        <f>VLOOKUP(C735,[1]Sheet!$A:$D,3,FALSE)</f>
        <v>South</v>
      </c>
      <c r="J735" t="str">
        <f>VLOOKUP(C735,[1]Sheet!$A:$D,4,FALSE)</f>
        <v>Home Office</v>
      </c>
      <c r="K735">
        <f t="shared" si="11"/>
        <v>0.28429171470372094</v>
      </c>
    </row>
    <row r="736" spans="1:11" x14ac:dyDescent="0.25">
      <c r="A736" t="s">
        <v>1161</v>
      </c>
      <c r="B736" t="s">
        <v>851</v>
      </c>
      <c r="C736" t="s">
        <v>151</v>
      </c>
      <c r="D736" t="s">
        <v>15</v>
      </c>
      <c r="E736">
        <v>2128.5500000000002</v>
      </c>
      <c r="F736">
        <v>4</v>
      </c>
      <c r="G736">
        <v>223.85</v>
      </c>
      <c r="H736">
        <v>0.1</v>
      </c>
      <c r="I736" t="str">
        <f>VLOOKUP(C736,[1]Sheet!$A:$D,3,FALSE)</f>
        <v>North</v>
      </c>
      <c r="J736" t="str">
        <f>VLOOKUP(C736,[1]Sheet!$A:$D,4,FALSE)</f>
        <v>Consumer</v>
      </c>
      <c r="K736">
        <f t="shared" si="11"/>
        <v>0.10516548824317022</v>
      </c>
    </row>
    <row r="737" spans="1:11" x14ac:dyDescent="0.25">
      <c r="A737" t="s">
        <v>1162</v>
      </c>
      <c r="B737" t="s">
        <v>33</v>
      </c>
      <c r="C737" t="s">
        <v>46</v>
      </c>
      <c r="D737" t="s">
        <v>11</v>
      </c>
      <c r="E737">
        <v>3533.41</v>
      </c>
      <c r="F737">
        <v>2</v>
      </c>
      <c r="G737">
        <v>261.54000000000002</v>
      </c>
      <c r="H737">
        <v>0</v>
      </c>
      <c r="I737" t="str">
        <f>VLOOKUP(C737,[1]Sheet!$A:$D,3,FALSE)</f>
        <v>North</v>
      </c>
      <c r="J737" t="str">
        <f>VLOOKUP(C737,[1]Sheet!$A:$D,4,FALSE)</f>
        <v>Corporate</v>
      </c>
      <c r="K737">
        <f t="shared" si="11"/>
        <v>7.4019148641114405E-2</v>
      </c>
    </row>
    <row r="738" spans="1:11" x14ac:dyDescent="0.25">
      <c r="A738" t="s">
        <v>1163</v>
      </c>
      <c r="B738" t="s">
        <v>1164</v>
      </c>
      <c r="C738" t="s">
        <v>311</v>
      </c>
      <c r="D738" t="s">
        <v>15</v>
      </c>
      <c r="E738">
        <v>4690.29</v>
      </c>
      <c r="F738">
        <v>7</v>
      </c>
      <c r="G738">
        <v>900.33</v>
      </c>
      <c r="H738">
        <v>0.2</v>
      </c>
      <c r="I738" t="str">
        <f>VLOOKUP(C738,[1]Sheet!$A:$D,3,FALSE)</f>
        <v>North</v>
      </c>
      <c r="J738" t="str">
        <f>VLOOKUP(C738,[1]Sheet!$A:$D,4,FALSE)</f>
        <v>Home Office</v>
      </c>
      <c r="K738">
        <f t="shared" si="11"/>
        <v>0.19195614770088845</v>
      </c>
    </row>
    <row r="739" spans="1:11" x14ac:dyDescent="0.25">
      <c r="A739" t="s">
        <v>1165</v>
      </c>
      <c r="B739" t="s">
        <v>242</v>
      </c>
      <c r="C739" t="s">
        <v>227</v>
      </c>
      <c r="D739" t="s">
        <v>15</v>
      </c>
      <c r="E739">
        <v>4980.47</v>
      </c>
      <c r="F739">
        <v>2</v>
      </c>
      <c r="G739">
        <v>404.31</v>
      </c>
      <c r="H739">
        <v>0.15</v>
      </c>
      <c r="I739" t="str">
        <f>VLOOKUP(C739,[1]Sheet!$A:$D,3,FALSE)</f>
        <v>South</v>
      </c>
      <c r="J739" t="str">
        <f>VLOOKUP(C739,[1]Sheet!$A:$D,4,FALSE)</f>
        <v>Home Office</v>
      </c>
      <c r="K739">
        <f t="shared" si="11"/>
        <v>8.1179085507994228E-2</v>
      </c>
    </row>
    <row r="740" spans="1:11" x14ac:dyDescent="0.25">
      <c r="A740" t="s">
        <v>1166</v>
      </c>
      <c r="B740" t="s">
        <v>323</v>
      </c>
      <c r="C740" t="s">
        <v>260</v>
      </c>
      <c r="D740" t="s">
        <v>22</v>
      </c>
      <c r="E740">
        <v>1223.8399999999999</v>
      </c>
      <c r="F740">
        <v>3</v>
      </c>
      <c r="G740">
        <v>332</v>
      </c>
      <c r="H740">
        <v>0.05</v>
      </c>
      <c r="I740" t="str">
        <f>VLOOKUP(C740,[1]Sheet!$A:$D,3,FALSE)</f>
        <v>West</v>
      </c>
      <c r="J740" t="str">
        <f>VLOOKUP(C740,[1]Sheet!$A:$D,4,FALSE)</f>
        <v>Corporate</v>
      </c>
      <c r="K740">
        <f t="shared" si="11"/>
        <v>0.27127729114916982</v>
      </c>
    </row>
    <row r="741" spans="1:11" x14ac:dyDescent="0.25">
      <c r="A741" t="s">
        <v>1167</v>
      </c>
      <c r="B741" t="s">
        <v>217</v>
      </c>
      <c r="C741" t="s">
        <v>415</v>
      </c>
      <c r="D741" t="s">
        <v>11</v>
      </c>
      <c r="E741">
        <v>4208.74</v>
      </c>
      <c r="F741">
        <v>6</v>
      </c>
      <c r="G741">
        <v>246.51</v>
      </c>
      <c r="H741">
        <v>0.15</v>
      </c>
      <c r="I741" t="str">
        <f>VLOOKUP(C741,[1]Sheet!$A:$D,3,FALSE)</f>
        <v>East</v>
      </c>
      <c r="J741" t="str">
        <f>VLOOKUP(C741,[1]Sheet!$A:$D,4,FALSE)</f>
        <v>Home Office</v>
      </c>
      <c r="K741">
        <f t="shared" si="11"/>
        <v>5.857097373560733E-2</v>
      </c>
    </row>
    <row r="742" spans="1:11" x14ac:dyDescent="0.25">
      <c r="A742" t="s">
        <v>1168</v>
      </c>
      <c r="B742" t="s">
        <v>262</v>
      </c>
      <c r="C742" t="s">
        <v>146</v>
      </c>
      <c r="D742" t="s">
        <v>22</v>
      </c>
      <c r="E742">
        <v>4877.41</v>
      </c>
      <c r="F742">
        <v>8</v>
      </c>
      <c r="G742">
        <v>1034.8699999999999</v>
      </c>
      <c r="H742">
        <v>0.05</v>
      </c>
      <c r="I742" t="str">
        <f>VLOOKUP(C742,[1]Sheet!$A:$D,3,FALSE)</f>
        <v>South</v>
      </c>
      <c r="J742" t="str">
        <f>VLOOKUP(C742,[1]Sheet!$A:$D,4,FALSE)</f>
        <v>Home Office</v>
      </c>
      <c r="K742">
        <f t="shared" si="11"/>
        <v>0.21217613446480815</v>
      </c>
    </row>
    <row r="743" spans="1:11" x14ac:dyDescent="0.25">
      <c r="A743" t="s">
        <v>1169</v>
      </c>
      <c r="B743" t="s">
        <v>326</v>
      </c>
      <c r="C743" t="s">
        <v>122</v>
      </c>
      <c r="D743" t="s">
        <v>22</v>
      </c>
      <c r="E743">
        <v>2742.51</v>
      </c>
      <c r="F743">
        <v>10</v>
      </c>
      <c r="G743">
        <v>623.23</v>
      </c>
      <c r="H743">
        <v>0.15</v>
      </c>
      <c r="I743" t="str">
        <f>VLOOKUP(C743,[1]Sheet!$A:$D,3,FALSE)</f>
        <v>West</v>
      </c>
      <c r="J743" t="str">
        <f>VLOOKUP(C743,[1]Sheet!$A:$D,4,FALSE)</f>
        <v>Consumer</v>
      </c>
      <c r="K743">
        <f t="shared" si="11"/>
        <v>0.22724803191237222</v>
      </c>
    </row>
    <row r="744" spans="1:11" x14ac:dyDescent="0.25">
      <c r="A744" t="s">
        <v>1170</v>
      </c>
      <c r="B744" t="s">
        <v>600</v>
      </c>
      <c r="C744" t="s">
        <v>415</v>
      </c>
      <c r="D744" t="s">
        <v>11</v>
      </c>
      <c r="E744">
        <v>3234.95</v>
      </c>
      <c r="F744">
        <v>9</v>
      </c>
      <c r="G744">
        <v>679.78</v>
      </c>
      <c r="H744">
        <v>0.05</v>
      </c>
      <c r="I744" t="str">
        <f>VLOOKUP(C744,[1]Sheet!$A:$D,3,FALSE)</f>
        <v>East</v>
      </c>
      <c r="J744" t="str">
        <f>VLOOKUP(C744,[1]Sheet!$A:$D,4,FALSE)</f>
        <v>Home Office</v>
      </c>
      <c r="K744">
        <f t="shared" si="11"/>
        <v>0.21013616902888763</v>
      </c>
    </row>
    <row r="745" spans="1:11" x14ac:dyDescent="0.25">
      <c r="A745" t="s">
        <v>1171</v>
      </c>
      <c r="B745" t="s">
        <v>1172</v>
      </c>
      <c r="C745" t="s">
        <v>34</v>
      </c>
      <c r="D745" t="s">
        <v>15</v>
      </c>
      <c r="E745">
        <v>2265.12</v>
      </c>
      <c r="F745">
        <v>5</v>
      </c>
      <c r="G745">
        <v>361.82</v>
      </c>
      <c r="H745">
        <v>0</v>
      </c>
      <c r="I745" t="str">
        <f>VLOOKUP(C745,[1]Sheet!$A:$D,3,FALSE)</f>
        <v>West</v>
      </c>
      <c r="J745" t="str">
        <f>VLOOKUP(C745,[1]Sheet!$A:$D,4,FALSE)</f>
        <v>Home Office</v>
      </c>
      <c r="K745">
        <f t="shared" si="11"/>
        <v>0.15973546655364837</v>
      </c>
    </row>
    <row r="746" spans="1:11" x14ac:dyDescent="0.25">
      <c r="A746" t="s">
        <v>1173</v>
      </c>
      <c r="B746" t="s">
        <v>1174</v>
      </c>
      <c r="C746" t="s">
        <v>682</v>
      </c>
      <c r="D746" t="s">
        <v>11</v>
      </c>
      <c r="E746">
        <v>2664.25</v>
      </c>
      <c r="F746">
        <v>5</v>
      </c>
      <c r="G746">
        <v>739.3</v>
      </c>
      <c r="H746">
        <v>0.15</v>
      </c>
      <c r="I746" t="str">
        <f>VLOOKUP(C746,[1]Sheet!$A:$D,3,FALSE)</f>
        <v>North</v>
      </c>
      <c r="J746" t="str">
        <f>VLOOKUP(C746,[1]Sheet!$A:$D,4,FALSE)</f>
        <v>Consumer</v>
      </c>
      <c r="K746">
        <f t="shared" si="11"/>
        <v>0.2774889743830346</v>
      </c>
    </row>
    <row r="747" spans="1:11" x14ac:dyDescent="0.25">
      <c r="A747" t="s">
        <v>1175</v>
      </c>
      <c r="B747" t="s">
        <v>45</v>
      </c>
      <c r="C747" t="s">
        <v>28</v>
      </c>
      <c r="D747" t="s">
        <v>11</v>
      </c>
      <c r="E747">
        <v>140.75</v>
      </c>
      <c r="F747">
        <v>1</v>
      </c>
      <c r="G747">
        <v>45.97</v>
      </c>
      <c r="H747">
        <v>0.15</v>
      </c>
      <c r="I747" t="str">
        <f>VLOOKUP(C747,[1]Sheet!$A:$D,3,FALSE)</f>
        <v>East</v>
      </c>
      <c r="J747" t="str">
        <f>VLOOKUP(C747,[1]Sheet!$A:$D,4,FALSE)</f>
        <v>Consumer</v>
      </c>
      <c r="K747">
        <f t="shared" si="11"/>
        <v>0.32660746003552399</v>
      </c>
    </row>
    <row r="748" spans="1:11" x14ac:dyDescent="0.25">
      <c r="A748" t="s">
        <v>1176</v>
      </c>
      <c r="B748" t="s">
        <v>148</v>
      </c>
      <c r="C748" t="s">
        <v>495</v>
      </c>
      <c r="D748" t="s">
        <v>11</v>
      </c>
      <c r="E748">
        <v>3025.32</v>
      </c>
      <c r="F748">
        <v>4</v>
      </c>
      <c r="G748">
        <v>874.41</v>
      </c>
      <c r="H748">
        <v>0.15</v>
      </c>
      <c r="I748" t="str">
        <f>VLOOKUP(C748,[1]Sheet!$A:$D,3,FALSE)</f>
        <v>South</v>
      </c>
      <c r="J748" t="str">
        <f>VLOOKUP(C748,[1]Sheet!$A:$D,4,FALSE)</f>
        <v>Home Office</v>
      </c>
      <c r="K748">
        <f t="shared" si="11"/>
        <v>0.289030581888858</v>
      </c>
    </row>
    <row r="749" spans="1:11" x14ac:dyDescent="0.25">
      <c r="A749" t="s">
        <v>1177</v>
      </c>
      <c r="B749" t="s">
        <v>524</v>
      </c>
      <c r="C749" t="s">
        <v>243</v>
      </c>
      <c r="D749" t="s">
        <v>11</v>
      </c>
      <c r="E749">
        <v>2241.8200000000002</v>
      </c>
      <c r="F749">
        <v>7</v>
      </c>
      <c r="G749">
        <v>280.16000000000003</v>
      </c>
      <c r="H749">
        <v>0.05</v>
      </c>
      <c r="I749" t="str">
        <f>VLOOKUP(C749,[1]Sheet!$A:$D,3,FALSE)</f>
        <v>North</v>
      </c>
      <c r="J749" t="str">
        <f>VLOOKUP(C749,[1]Sheet!$A:$D,4,FALSE)</f>
        <v>Home Office</v>
      </c>
      <c r="K749">
        <f t="shared" si="11"/>
        <v>0.12496989053536858</v>
      </c>
    </row>
    <row r="750" spans="1:11" x14ac:dyDescent="0.25">
      <c r="A750" t="s">
        <v>1178</v>
      </c>
      <c r="B750" t="s">
        <v>476</v>
      </c>
      <c r="C750" t="s">
        <v>40</v>
      </c>
      <c r="D750" t="s">
        <v>22</v>
      </c>
      <c r="E750">
        <v>488.13</v>
      </c>
      <c r="F750">
        <v>5</v>
      </c>
      <c r="G750">
        <v>115.98</v>
      </c>
      <c r="H750">
        <v>0.1</v>
      </c>
      <c r="I750" t="str">
        <f>VLOOKUP(C750,[1]Sheet!$A:$D,3,FALSE)</f>
        <v>East</v>
      </c>
      <c r="J750" t="str">
        <f>VLOOKUP(C750,[1]Sheet!$A:$D,4,FALSE)</f>
        <v>Corporate</v>
      </c>
      <c r="K750">
        <f t="shared" si="11"/>
        <v>0.23760063917399055</v>
      </c>
    </row>
    <row r="751" spans="1:11" x14ac:dyDescent="0.25">
      <c r="A751" t="s">
        <v>1179</v>
      </c>
      <c r="B751" t="s">
        <v>711</v>
      </c>
      <c r="C751" t="s">
        <v>271</v>
      </c>
      <c r="D751" t="s">
        <v>15</v>
      </c>
      <c r="E751">
        <v>3740.34</v>
      </c>
      <c r="F751">
        <v>2</v>
      </c>
      <c r="G751">
        <v>1094.58</v>
      </c>
      <c r="H751">
        <v>0.05</v>
      </c>
      <c r="I751" t="str">
        <f>VLOOKUP(C751,[1]Sheet!$A:$D,3,FALSE)</f>
        <v>South</v>
      </c>
      <c r="J751" t="str">
        <f>VLOOKUP(C751,[1]Sheet!$A:$D,4,FALSE)</f>
        <v>Home Office</v>
      </c>
      <c r="K751">
        <f t="shared" si="11"/>
        <v>0.29264184539373422</v>
      </c>
    </row>
    <row r="752" spans="1:11" x14ac:dyDescent="0.25">
      <c r="A752" t="s">
        <v>1180</v>
      </c>
      <c r="B752" t="s">
        <v>242</v>
      </c>
      <c r="C752" t="s">
        <v>355</v>
      </c>
      <c r="D752" t="s">
        <v>11</v>
      </c>
      <c r="E752">
        <v>1519.02</v>
      </c>
      <c r="F752">
        <v>5</v>
      </c>
      <c r="G752">
        <v>366.19</v>
      </c>
      <c r="H752">
        <v>0.2</v>
      </c>
      <c r="I752" t="str">
        <f>VLOOKUP(C752,[1]Sheet!$A:$D,3,FALSE)</f>
        <v>North</v>
      </c>
      <c r="J752" t="str">
        <f>VLOOKUP(C752,[1]Sheet!$A:$D,4,FALSE)</f>
        <v>Consumer</v>
      </c>
      <c r="K752">
        <f t="shared" si="11"/>
        <v>0.24106990033047623</v>
      </c>
    </row>
    <row r="753" spans="1:11" x14ac:dyDescent="0.25">
      <c r="A753" t="s">
        <v>1181</v>
      </c>
      <c r="B753" t="s">
        <v>893</v>
      </c>
      <c r="C753" t="s">
        <v>382</v>
      </c>
      <c r="D753" t="s">
        <v>22</v>
      </c>
      <c r="E753">
        <v>1020.17</v>
      </c>
      <c r="F753">
        <v>1</v>
      </c>
      <c r="G753">
        <v>56.94</v>
      </c>
      <c r="H753">
        <v>0.05</v>
      </c>
      <c r="I753" t="str">
        <f>VLOOKUP(C753,[1]Sheet!$A:$D,3,FALSE)</f>
        <v>West</v>
      </c>
      <c r="J753" t="str">
        <f>VLOOKUP(C753,[1]Sheet!$A:$D,4,FALSE)</f>
        <v>Home Office</v>
      </c>
      <c r="K753">
        <f t="shared" si="11"/>
        <v>5.5814227040591274E-2</v>
      </c>
    </row>
    <row r="754" spans="1:11" x14ac:dyDescent="0.25">
      <c r="A754" t="s">
        <v>1182</v>
      </c>
      <c r="B754" t="s">
        <v>976</v>
      </c>
      <c r="C754" t="s">
        <v>198</v>
      </c>
      <c r="D754" t="s">
        <v>22</v>
      </c>
      <c r="E754">
        <v>1482.36</v>
      </c>
      <c r="F754">
        <v>1</v>
      </c>
      <c r="G754">
        <v>129.72</v>
      </c>
      <c r="H754">
        <v>0.05</v>
      </c>
      <c r="I754" t="str">
        <f>VLOOKUP(C754,[1]Sheet!$A:$D,3,FALSE)</f>
        <v>South</v>
      </c>
      <c r="J754" t="str">
        <f>VLOOKUP(C754,[1]Sheet!$A:$D,4,FALSE)</f>
        <v>Home Office</v>
      </c>
      <c r="K754">
        <f t="shared" si="11"/>
        <v>8.7509107099490002E-2</v>
      </c>
    </row>
    <row r="755" spans="1:11" x14ac:dyDescent="0.25">
      <c r="A755" t="s">
        <v>1183</v>
      </c>
      <c r="B755" t="s">
        <v>1129</v>
      </c>
      <c r="C755" t="s">
        <v>34</v>
      </c>
      <c r="D755" t="s">
        <v>11</v>
      </c>
      <c r="E755">
        <v>838.35</v>
      </c>
      <c r="F755">
        <v>5</v>
      </c>
      <c r="G755">
        <v>166.06</v>
      </c>
      <c r="H755">
        <v>0.15</v>
      </c>
      <c r="I755" t="str">
        <f>VLOOKUP(C755,[1]Sheet!$A:$D,3,FALSE)</f>
        <v>West</v>
      </c>
      <c r="J755" t="str">
        <f>VLOOKUP(C755,[1]Sheet!$A:$D,4,FALSE)</f>
        <v>Home Office</v>
      </c>
      <c r="K755">
        <f t="shared" si="11"/>
        <v>0.198079561042524</v>
      </c>
    </row>
    <row r="756" spans="1:11" x14ac:dyDescent="0.25">
      <c r="A756" t="s">
        <v>1184</v>
      </c>
      <c r="B756" t="s">
        <v>115</v>
      </c>
      <c r="C756" t="s">
        <v>348</v>
      </c>
      <c r="D756" t="s">
        <v>15</v>
      </c>
      <c r="E756">
        <v>2372.0500000000002</v>
      </c>
      <c r="F756">
        <v>3</v>
      </c>
      <c r="G756">
        <v>681.79</v>
      </c>
      <c r="H756">
        <v>0</v>
      </c>
      <c r="I756" t="str">
        <f>VLOOKUP(C756,[1]Sheet!$A:$D,3,FALSE)</f>
        <v>East</v>
      </c>
      <c r="J756" t="str">
        <f>VLOOKUP(C756,[1]Sheet!$A:$D,4,FALSE)</f>
        <v>Consumer</v>
      </c>
      <c r="K756">
        <f t="shared" si="11"/>
        <v>0.28742648763727574</v>
      </c>
    </row>
    <row r="757" spans="1:11" x14ac:dyDescent="0.25">
      <c r="A757" t="s">
        <v>1185</v>
      </c>
      <c r="B757" t="s">
        <v>989</v>
      </c>
      <c r="C757" t="s">
        <v>224</v>
      </c>
      <c r="D757" t="s">
        <v>15</v>
      </c>
      <c r="E757">
        <v>3900.7</v>
      </c>
      <c r="F757">
        <v>4</v>
      </c>
      <c r="G757">
        <v>278.57</v>
      </c>
      <c r="H757">
        <v>0.1</v>
      </c>
      <c r="I757" t="str">
        <f>VLOOKUP(C757,[1]Sheet!$A:$D,3,FALSE)</f>
        <v>South</v>
      </c>
      <c r="J757" t="str">
        <f>VLOOKUP(C757,[1]Sheet!$A:$D,4,FALSE)</f>
        <v>Home Office</v>
      </c>
      <c r="K757">
        <f t="shared" si="11"/>
        <v>7.1415386981823772E-2</v>
      </c>
    </row>
    <row r="758" spans="1:11" x14ac:dyDescent="0.25">
      <c r="A758" t="s">
        <v>1186</v>
      </c>
      <c r="B758" t="s">
        <v>143</v>
      </c>
      <c r="C758" t="s">
        <v>162</v>
      </c>
      <c r="D758" t="s">
        <v>11</v>
      </c>
      <c r="E758">
        <v>4158.4399999999996</v>
      </c>
      <c r="F758">
        <v>8</v>
      </c>
      <c r="G758">
        <v>360.07</v>
      </c>
      <c r="H758">
        <v>0.05</v>
      </c>
      <c r="I758" t="str">
        <f>VLOOKUP(C758,[1]Sheet!$A:$D,3,FALSE)</f>
        <v>West</v>
      </c>
      <c r="J758" t="str">
        <f>VLOOKUP(C758,[1]Sheet!$A:$D,4,FALSE)</f>
        <v>Corporate</v>
      </c>
      <c r="K758">
        <f t="shared" si="11"/>
        <v>8.6587758871115139E-2</v>
      </c>
    </row>
    <row r="759" spans="1:11" x14ac:dyDescent="0.25">
      <c r="A759" t="s">
        <v>1187</v>
      </c>
      <c r="B759" t="s">
        <v>974</v>
      </c>
      <c r="C759" t="s">
        <v>424</v>
      </c>
      <c r="D759" t="s">
        <v>22</v>
      </c>
      <c r="E759">
        <v>4973.22</v>
      </c>
      <c r="F759">
        <v>4</v>
      </c>
      <c r="G759">
        <v>545.83000000000004</v>
      </c>
      <c r="H759">
        <v>0.15</v>
      </c>
      <c r="I759" t="str">
        <f>VLOOKUP(C759,[1]Sheet!$A:$D,3,FALSE)</f>
        <v>South</v>
      </c>
      <c r="J759" t="str">
        <f>VLOOKUP(C759,[1]Sheet!$A:$D,4,FALSE)</f>
        <v>Consumer</v>
      </c>
      <c r="K759">
        <f t="shared" si="11"/>
        <v>0.10975384157547827</v>
      </c>
    </row>
    <row r="760" spans="1:11" x14ac:dyDescent="0.25">
      <c r="A760" t="s">
        <v>1188</v>
      </c>
      <c r="B760" t="s">
        <v>767</v>
      </c>
      <c r="C760" t="s">
        <v>301</v>
      </c>
      <c r="D760" t="s">
        <v>15</v>
      </c>
      <c r="E760">
        <v>3439.07</v>
      </c>
      <c r="F760">
        <v>1</v>
      </c>
      <c r="G760">
        <v>493.96</v>
      </c>
      <c r="H760">
        <v>0.2</v>
      </c>
      <c r="I760" t="str">
        <f>VLOOKUP(C760,[1]Sheet!$A:$D,3,FALSE)</f>
        <v>West</v>
      </c>
      <c r="J760" t="str">
        <f>VLOOKUP(C760,[1]Sheet!$A:$D,4,FALSE)</f>
        <v>Consumer</v>
      </c>
      <c r="K760">
        <f t="shared" si="11"/>
        <v>0.14363185396051839</v>
      </c>
    </row>
    <row r="761" spans="1:11" x14ac:dyDescent="0.25">
      <c r="A761" t="s">
        <v>1189</v>
      </c>
      <c r="B761" t="s">
        <v>161</v>
      </c>
      <c r="C761" t="s">
        <v>212</v>
      </c>
      <c r="D761" t="s">
        <v>15</v>
      </c>
      <c r="E761">
        <v>698.49</v>
      </c>
      <c r="F761">
        <v>6</v>
      </c>
      <c r="G761">
        <v>135.76</v>
      </c>
      <c r="H761">
        <v>0</v>
      </c>
      <c r="I761" t="str">
        <f>VLOOKUP(C761,[1]Sheet!$A:$D,3,FALSE)</f>
        <v>North</v>
      </c>
      <c r="J761" t="str">
        <f>VLOOKUP(C761,[1]Sheet!$A:$D,4,FALSE)</f>
        <v>Home Office</v>
      </c>
      <c r="K761">
        <f t="shared" si="11"/>
        <v>0.19436212401036521</v>
      </c>
    </row>
    <row r="762" spans="1:11" x14ac:dyDescent="0.25">
      <c r="A762" t="s">
        <v>1190</v>
      </c>
      <c r="B762" t="s">
        <v>705</v>
      </c>
      <c r="C762" t="s">
        <v>59</v>
      </c>
      <c r="D762" t="s">
        <v>11</v>
      </c>
      <c r="E762">
        <v>1167.1600000000001</v>
      </c>
      <c r="F762">
        <v>6</v>
      </c>
      <c r="G762">
        <v>97.9</v>
      </c>
      <c r="H762">
        <v>0</v>
      </c>
      <c r="I762" t="str">
        <f>VLOOKUP(C762,[1]Sheet!$A:$D,3,FALSE)</f>
        <v>West</v>
      </c>
      <c r="J762" t="str">
        <f>VLOOKUP(C762,[1]Sheet!$A:$D,4,FALSE)</f>
        <v>Consumer</v>
      </c>
      <c r="K762">
        <f t="shared" si="11"/>
        <v>8.3878816957400876E-2</v>
      </c>
    </row>
    <row r="763" spans="1:11" x14ac:dyDescent="0.25">
      <c r="A763" t="s">
        <v>1191</v>
      </c>
      <c r="B763" t="s">
        <v>414</v>
      </c>
      <c r="C763" t="s">
        <v>187</v>
      </c>
      <c r="D763" t="s">
        <v>15</v>
      </c>
      <c r="E763">
        <v>3992.51</v>
      </c>
      <c r="F763">
        <v>1</v>
      </c>
      <c r="G763">
        <v>899.95</v>
      </c>
      <c r="H763">
        <v>0</v>
      </c>
      <c r="I763" t="str">
        <f>VLOOKUP(C763,[1]Sheet!$A:$D,3,FALSE)</f>
        <v>West</v>
      </c>
      <c r="J763" t="str">
        <f>VLOOKUP(C763,[1]Sheet!$A:$D,4,FALSE)</f>
        <v>Home Office</v>
      </c>
      <c r="K763">
        <f t="shared" si="11"/>
        <v>0.2254095794374967</v>
      </c>
    </row>
    <row r="764" spans="1:11" x14ac:dyDescent="0.25">
      <c r="A764" t="s">
        <v>1192</v>
      </c>
      <c r="B764" t="s">
        <v>368</v>
      </c>
      <c r="C764" t="s">
        <v>88</v>
      </c>
      <c r="D764" t="s">
        <v>15</v>
      </c>
      <c r="E764">
        <v>3939.03</v>
      </c>
      <c r="F764">
        <v>6</v>
      </c>
      <c r="G764">
        <v>758.58</v>
      </c>
      <c r="H764">
        <v>0</v>
      </c>
      <c r="I764" t="str">
        <f>VLOOKUP(C764,[1]Sheet!$A:$D,3,FALSE)</f>
        <v>North</v>
      </c>
      <c r="J764" t="str">
        <f>VLOOKUP(C764,[1]Sheet!$A:$D,4,FALSE)</f>
        <v>Home Office</v>
      </c>
      <c r="K764">
        <f t="shared" si="11"/>
        <v>0.19258040685143296</v>
      </c>
    </row>
    <row r="765" spans="1:11" x14ac:dyDescent="0.25">
      <c r="A765" t="s">
        <v>1193</v>
      </c>
      <c r="B765" t="s">
        <v>242</v>
      </c>
      <c r="C765" t="s">
        <v>141</v>
      </c>
      <c r="D765" t="s">
        <v>11</v>
      </c>
      <c r="E765">
        <v>872.72</v>
      </c>
      <c r="F765">
        <v>1</v>
      </c>
      <c r="G765">
        <v>67.569999999999993</v>
      </c>
      <c r="H765">
        <v>0</v>
      </c>
      <c r="I765" t="str">
        <f>VLOOKUP(C765,[1]Sheet!$A:$D,3,FALSE)</f>
        <v>East</v>
      </c>
      <c r="J765" t="str">
        <f>VLOOKUP(C765,[1]Sheet!$A:$D,4,FALSE)</f>
        <v>Corporate</v>
      </c>
      <c r="K765">
        <f t="shared" si="11"/>
        <v>7.7424603538362807E-2</v>
      </c>
    </row>
    <row r="766" spans="1:11" x14ac:dyDescent="0.25">
      <c r="A766" t="s">
        <v>1194</v>
      </c>
      <c r="B766" t="s">
        <v>140</v>
      </c>
      <c r="C766" t="s">
        <v>91</v>
      </c>
      <c r="D766" t="s">
        <v>15</v>
      </c>
      <c r="E766">
        <v>3258.42</v>
      </c>
      <c r="F766">
        <v>8</v>
      </c>
      <c r="G766">
        <v>848.49</v>
      </c>
      <c r="H766">
        <v>0.05</v>
      </c>
      <c r="I766" t="str">
        <f>VLOOKUP(C766,[1]Sheet!$A:$D,3,FALSE)</f>
        <v>East</v>
      </c>
      <c r="J766" t="str">
        <f>VLOOKUP(C766,[1]Sheet!$A:$D,4,FALSE)</f>
        <v>Consumer</v>
      </c>
      <c r="K766">
        <f t="shared" si="11"/>
        <v>0.26039921188797022</v>
      </c>
    </row>
    <row r="767" spans="1:11" x14ac:dyDescent="0.25">
      <c r="A767" t="s">
        <v>1195</v>
      </c>
      <c r="B767" t="s">
        <v>600</v>
      </c>
      <c r="C767" t="s">
        <v>155</v>
      </c>
      <c r="D767" t="s">
        <v>11</v>
      </c>
      <c r="E767">
        <v>4910.21</v>
      </c>
      <c r="F767">
        <v>4</v>
      </c>
      <c r="G767">
        <v>1407.11</v>
      </c>
      <c r="H767">
        <v>0</v>
      </c>
      <c r="I767" t="str">
        <f>VLOOKUP(C767,[1]Sheet!$A:$D,3,FALSE)</f>
        <v>East</v>
      </c>
      <c r="J767" t="str">
        <f>VLOOKUP(C767,[1]Sheet!$A:$D,4,FALSE)</f>
        <v>Home Office</v>
      </c>
      <c r="K767">
        <f t="shared" si="11"/>
        <v>0.28656819158447394</v>
      </c>
    </row>
    <row r="768" spans="1:11" x14ac:dyDescent="0.25">
      <c r="A768" t="s">
        <v>1196</v>
      </c>
      <c r="B768" t="s">
        <v>474</v>
      </c>
      <c r="C768" t="s">
        <v>215</v>
      </c>
      <c r="D768" t="s">
        <v>15</v>
      </c>
      <c r="E768">
        <v>1951.07</v>
      </c>
      <c r="F768">
        <v>8</v>
      </c>
      <c r="G768">
        <v>521.55999999999995</v>
      </c>
      <c r="H768">
        <v>0.15</v>
      </c>
      <c r="I768" t="str">
        <f>VLOOKUP(C768,[1]Sheet!$A:$D,3,FALSE)</f>
        <v>South</v>
      </c>
      <c r="J768" t="str">
        <f>VLOOKUP(C768,[1]Sheet!$A:$D,4,FALSE)</f>
        <v>Corporate</v>
      </c>
      <c r="K768">
        <f t="shared" si="11"/>
        <v>0.26731998339372753</v>
      </c>
    </row>
    <row r="769" spans="1:11" x14ac:dyDescent="0.25">
      <c r="A769" t="s">
        <v>1197</v>
      </c>
      <c r="B769" t="s">
        <v>363</v>
      </c>
      <c r="C769" t="s">
        <v>243</v>
      </c>
      <c r="D769" t="s">
        <v>22</v>
      </c>
      <c r="E769">
        <v>1544.1</v>
      </c>
      <c r="F769">
        <v>3</v>
      </c>
      <c r="G769">
        <v>400.09</v>
      </c>
      <c r="H769">
        <v>0.2</v>
      </c>
      <c r="I769" t="str">
        <f>VLOOKUP(C769,[1]Sheet!$A:$D,3,FALSE)</f>
        <v>North</v>
      </c>
      <c r="J769" t="str">
        <f>VLOOKUP(C769,[1]Sheet!$A:$D,4,FALSE)</f>
        <v>Home Office</v>
      </c>
      <c r="K769">
        <f t="shared" si="11"/>
        <v>0.25910886600608768</v>
      </c>
    </row>
    <row r="770" spans="1:11" x14ac:dyDescent="0.25">
      <c r="A770" t="s">
        <v>1198</v>
      </c>
      <c r="B770" t="s">
        <v>1199</v>
      </c>
      <c r="C770" t="s">
        <v>65</v>
      </c>
      <c r="D770" t="s">
        <v>22</v>
      </c>
      <c r="E770">
        <v>1686.04</v>
      </c>
      <c r="F770">
        <v>3</v>
      </c>
      <c r="G770">
        <v>321.22000000000003</v>
      </c>
      <c r="H770">
        <v>0</v>
      </c>
      <c r="I770" t="str">
        <f>VLOOKUP(C770,[1]Sheet!$A:$D,3,FALSE)</f>
        <v>East</v>
      </c>
      <c r="J770" t="str">
        <f>VLOOKUP(C770,[1]Sheet!$A:$D,4,FALSE)</f>
        <v>Corporate</v>
      </c>
      <c r="K770">
        <f t="shared" si="11"/>
        <v>0.19051742544660863</v>
      </c>
    </row>
    <row r="771" spans="1:11" x14ac:dyDescent="0.25">
      <c r="A771" t="s">
        <v>1200</v>
      </c>
      <c r="B771" t="s">
        <v>900</v>
      </c>
      <c r="C771" t="s">
        <v>415</v>
      </c>
      <c r="D771" t="s">
        <v>22</v>
      </c>
      <c r="E771">
        <v>859.62</v>
      </c>
      <c r="F771">
        <v>6</v>
      </c>
      <c r="G771">
        <v>119.23</v>
      </c>
      <c r="H771">
        <v>0.15</v>
      </c>
      <c r="I771" t="str">
        <f>VLOOKUP(C771,[1]Sheet!$A:$D,3,FALSE)</f>
        <v>East</v>
      </c>
      <c r="J771" t="str">
        <f>VLOOKUP(C771,[1]Sheet!$A:$D,4,FALSE)</f>
        <v>Home Office</v>
      </c>
      <c r="K771">
        <f t="shared" ref="K771:K834" si="12">G771/E771</f>
        <v>0.13870082129312952</v>
      </c>
    </row>
    <row r="772" spans="1:11" x14ac:dyDescent="0.25">
      <c r="A772" t="s">
        <v>1201</v>
      </c>
      <c r="B772" t="s">
        <v>1202</v>
      </c>
      <c r="C772" t="s">
        <v>682</v>
      </c>
      <c r="D772" t="s">
        <v>15</v>
      </c>
      <c r="E772">
        <v>3902</v>
      </c>
      <c r="F772">
        <v>10</v>
      </c>
      <c r="G772">
        <v>787.37</v>
      </c>
      <c r="H772">
        <v>0.1</v>
      </c>
      <c r="I772" t="str">
        <f>VLOOKUP(C772,[1]Sheet!$A:$D,3,FALSE)</f>
        <v>North</v>
      </c>
      <c r="J772" t="str">
        <f>VLOOKUP(C772,[1]Sheet!$A:$D,4,FALSE)</f>
        <v>Consumer</v>
      </c>
      <c r="K772">
        <f t="shared" si="12"/>
        <v>0.20178626345463865</v>
      </c>
    </row>
    <row r="773" spans="1:11" x14ac:dyDescent="0.25">
      <c r="A773" t="s">
        <v>1203</v>
      </c>
      <c r="B773" t="s">
        <v>743</v>
      </c>
      <c r="C773" t="s">
        <v>453</v>
      </c>
      <c r="D773" t="s">
        <v>22</v>
      </c>
      <c r="E773">
        <v>3138.97</v>
      </c>
      <c r="F773">
        <v>9</v>
      </c>
      <c r="G773">
        <v>458.94</v>
      </c>
      <c r="H773">
        <v>0.15</v>
      </c>
      <c r="I773" t="str">
        <f>VLOOKUP(C773,[1]Sheet!$A:$D,3,FALSE)</f>
        <v>North</v>
      </c>
      <c r="J773" t="str">
        <f>VLOOKUP(C773,[1]Sheet!$A:$D,4,FALSE)</f>
        <v>Home Office</v>
      </c>
      <c r="K773">
        <f t="shared" si="12"/>
        <v>0.14620719535388998</v>
      </c>
    </row>
    <row r="774" spans="1:11" x14ac:dyDescent="0.25">
      <c r="A774" t="s">
        <v>1204</v>
      </c>
      <c r="B774" t="s">
        <v>248</v>
      </c>
      <c r="C774" t="s">
        <v>113</v>
      </c>
      <c r="D774" t="s">
        <v>15</v>
      </c>
      <c r="E774">
        <v>2667.94</v>
      </c>
      <c r="F774">
        <v>10</v>
      </c>
      <c r="G774">
        <v>531.63</v>
      </c>
      <c r="H774">
        <v>0.1</v>
      </c>
      <c r="I774" t="str">
        <f>VLOOKUP(C774,[1]Sheet!$A:$D,3,FALSE)</f>
        <v>East</v>
      </c>
      <c r="J774" t="str">
        <f>VLOOKUP(C774,[1]Sheet!$A:$D,4,FALSE)</f>
        <v>Home Office</v>
      </c>
      <c r="K774">
        <f t="shared" si="12"/>
        <v>0.19926610043704129</v>
      </c>
    </row>
    <row r="775" spans="1:11" x14ac:dyDescent="0.25">
      <c r="A775" t="s">
        <v>1205</v>
      </c>
      <c r="B775" t="s">
        <v>392</v>
      </c>
      <c r="C775" t="s">
        <v>428</v>
      </c>
      <c r="D775" t="s">
        <v>22</v>
      </c>
      <c r="E775">
        <v>2108.04</v>
      </c>
      <c r="F775">
        <v>2</v>
      </c>
      <c r="G775">
        <v>309.05</v>
      </c>
      <c r="H775">
        <v>0</v>
      </c>
      <c r="I775" t="str">
        <f>VLOOKUP(C775,[1]Sheet!$A:$D,3,FALSE)</f>
        <v>South</v>
      </c>
      <c r="J775" t="str">
        <f>VLOOKUP(C775,[1]Sheet!$A:$D,4,FALSE)</f>
        <v>Home Office</v>
      </c>
      <c r="K775">
        <f t="shared" si="12"/>
        <v>0.14660537750706817</v>
      </c>
    </row>
    <row r="776" spans="1:11" x14ac:dyDescent="0.25">
      <c r="A776" t="s">
        <v>1206</v>
      </c>
      <c r="B776" t="s">
        <v>140</v>
      </c>
      <c r="C776" t="s">
        <v>184</v>
      </c>
      <c r="D776" t="s">
        <v>11</v>
      </c>
      <c r="E776">
        <v>975.33</v>
      </c>
      <c r="F776">
        <v>4</v>
      </c>
      <c r="G776">
        <v>57.92</v>
      </c>
      <c r="H776">
        <v>0</v>
      </c>
      <c r="I776" t="str">
        <f>VLOOKUP(C776,[1]Sheet!$A:$D,3,FALSE)</f>
        <v>South</v>
      </c>
      <c r="J776" t="str">
        <f>VLOOKUP(C776,[1]Sheet!$A:$D,4,FALSE)</f>
        <v>Corporate</v>
      </c>
      <c r="K776">
        <f t="shared" si="12"/>
        <v>5.9385028656967383E-2</v>
      </c>
    </row>
    <row r="777" spans="1:11" x14ac:dyDescent="0.25">
      <c r="A777" t="s">
        <v>1207</v>
      </c>
      <c r="B777" t="s">
        <v>1208</v>
      </c>
      <c r="C777" t="s">
        <v>484</v>
      </c>
      <c r="D777" t="s">
        <v>11</v>
      </c>
      <c r="E777">
        <v>2897.96</v>
      </c>
      <c r="F777">
        <v>9</v>
      </c>
      <c r="G777">
        <v>871.97</v>
      </c>
      <c r="H777">
        <v>0.2</v>
      </c>
      <c r="I777" t="str">
        <f>VLOOKUP(C777,[1]Sheet!$A:$D,3,FALSE)</f>
        <v>North</v>
      </c>
      <c r="J777" t="str">
        <f>VLOOKUP(C777,[1]Sheet!$A:$D,4,FALSE)</f>
        <v>Home Office</v>
      </c>
      <c r="K777">
        <f t="shared" si="12"/>
        <v>0.30089097158000799</v>
      </c>
    </row>
    <row r="778" spans="1:11" x14ac:dyDescent="0.25">
      <c r="A778" t="s">
        <v>1209</v>
      </c>
      <c r="B778" t="s">
        <v>431</v>
      </c>
      <c r="C778" t="s">
        <v>122</v>
      </c>
      <c r="D778" t="s">
        <v>22</v>
      </c>
      <c r="E778">
        <v>2992.47</v>
      </c>
      <c r="F778">
        <v>2</v>
      </c>
      <c r="G778">
        <v>193.69</v>
      </c>
      <c r="H778">
        <v>0</v>
      </c>
      <c r="I778" t="str">
        <f>VLOOKUP(C778,[1]Sheet!$A:$D,3,FALSE)</f>
        <v>West</v>
      </c>
      <c r="J778" t="str">
        <f>VLOOKUP(C778,[1]Sheet!$A:$D,4,FALSE)</f>
        <v>Consumer</v>
      </c>
      <c r="K778">
        <f t="shared" si="12"/>
        <v>6.4725795078981574E-2</v>
      </c>
    </row>
    <row r="779" spans="1:11" x14ac:dyDescent="0.25">
      <c r="A779" t="s">
        <v>1210</v>
      </c>
      <c r="B779" t="s">
        <v>1156</v>
      </c>
      <c r="C779" t="s">
        <v>418</v>
      </c>
      <c r="D779" t="s">
        <v>11</v>
      </c>
      <c r="E779">
        <v>3313.17</v>
      </c>
      <c r="F779">
        <v>1</v>
      </c>
      <c r="G779">
        <v>1088.45</v>
      </c>
      <c r="H779">
        <v>0.1</v>
      </c>
      <c r="I779" t="str">
        <f>VLOOKUP(C779,[1]Sheet!$A:$D,3,FALSE)</f>
        <v>South</v>
      </c>
      <c r="J779" t="str">
        <f>VLOOKUP(C779,[1]Sheet!$A:$D,4,FALSE)</f>
        <v>Home Office</v>
      </c>
      <c r="K779">
        <f t="shared" si="12"/>
        <v>0.32852223097516881</v>
      </c>
    </row>
    <row r="780" spans="1:11" x14ac:dyDescent="0.25">
      <c r="A780" t="s">
        <v>1211</v>
      </c>
      <c r="B780" t="s">
        <v>773</v>
      </c>
      <c r="C780" t="s">
        <v>243</v>
      </c>
      <c r="D780" t="s">
        <v>22</v>
      </c>
      <c r="E780">
        <v>3743.04</v>
      </c>
      <c r="F780">
        <v>1</v>
      </c>
      <c r="G780">
        <v>1187.03</v>
      </c>
      <c r="H780">
        <v>0.2</v>
      </c>
      <c r="I780" t="str">
        <f>VLOOKUP(C780,[1]Sheet!$A:$D,3,FALSE)</f>
        <v>North</v>
      </c>
      <c r="J780" t="str">
        <f>VLOOKUP(C780,[1]Sheet!$A:$D,4,FALSE)</f>
        <v>Home Office</v>
      </c>
      <c r="K780">
        <f t="shared" si="12"/>
        <v>0.31712992647687444</v>
      </c>
    </row>
    <row r="781" spans="1:11" x14ac:dyDescent="0.25">
      <c r="A781" t="s">
        <v>1212</v>
      </c>
      <c r="B781" t="s">
        <v>240</v>
      </c>
      <c r="C781" t="s">
        <v>224</v>
      </c>
      <c r="D781" t="s">
        <v>15</v>
      </c>
      <c r="E781">
        <v>2692.2</v>
      </c>
      <c r="F781">
        <v>4</v>
      </c>
      <c r="G781">
        <v>727.68</v>
      </c>
      <c r="H781">
        <v>0.2</v>
      </c>
      <c r="I781" t="str">
        <f>VLOOKUP(C781,[1]Sheet!$A:$D,3,FALSE)</f>
        <v>South</v>
      </c>
      <c r="J781" t="str">
        <f>VLOOKUP(C781,[1]Sheet!$A:$D,4,FALSE)</f>
        <v>Home Office</v>
      </c>
      <c r="K781">
        <f t="shared" si="12"/>
        <v>0.27029195453532429</v>
      </c>
    </row>
    <row r="782" spans="1:11" x14ac:dyDescent="0.25">
      <c r="A782" t="s">
        <v>1213</v>
      </c>
      <c r="B782" t="s">
        <v>513</v>
      </c>
      <c r="C782" t="s">
        <v>313</v>
      </c>
      <c r="D782" t="s">
        <v>15</v>
      </c>
      <c r="E782">
        <v>596</v>
      </c>
      <c r="F782">
        <v>4</v>
      </c>
      <c r="G782">
        <v>71.11</v>
      </c>
      <c r="H782">
        <v>0.2</v>
      </c>
      <c r="I782" t="str">
        <f>VLOOKUP(C782,[1]Sheet!$A:$D,3,FALSE)</f>
        <v>East</v>
      </c>
      <c r="J782" t="str">
        <f>VLOOKUP(C782,[1]Sheet!$A:$D,4,FALSE)</f>
        <v>Consumer</v>
      </c>
      <c r="K782">
        <f t="shared" si="12"/>
        <v>0.11931208053691275</v>
      </c>
    </row>
    <row r="783" spans="1:11" x14ac:dyDescent="0.25">
      <c r="A783" t="s">
        <v>1214</v>
      </c>
      <c r="B783" t="s">
        <v>1215</v>
      </c>
      <c r="C783" t="s">
        <v>21</v>
      </c>
      <c r="D783" t="s">
        <v>22</v>
      </c>
      <c r="E783">
        <v>1318.94</v>
      </c>
      <c r="F783">
        <v>9</v>
      </c>
      <c r="G783">
        <v>313.38</v>
      </c>
      <c r="H783">
        <v>0.15</v>
      </c>
      <c r="I783" t="str">
        <f>VLOOKUP(C783,[1]Sheet!$A:$D,3,FALSE)</f>
        <v>North</v>
      </c>
      <c r="J783" t="str">
        <f>VLOOKUP(C783,[1]Sheet!$A:$D,4,FALSE)</f>
        <v>Consumer</v>
      </c>
      <c r="K783">
        <f t="shared" si="12"/>
        <v>0.23759989082141719</v>
      </c>
    </row>
    <row r="784" spans="1:11" x14ac:dyDescent="0.25">
      <c r="A784" t="s">
        <v>1216</v>
      </c>
      <c r="B784" t="s">
        <v>328</v>
      </c>
      <c r="C784" t="s">
        <v>46</v>
      </c>
      <c r="D784" t="s">
        <v>22</v>
      </c>
      <c r="E784">
        <v>617.02</v>
      </c>
      <c r="F784">
        <v>8</v>
      </c>
      <c r="G784">
        <v>149.06</v>
      </c>
      <c r="H784">
        <v>0.15</v>
      </c>
      <c r="I784" t="str">
        <f>VLOOKUP(C784,[1]Sheet!$A:$D,3,FALSE)</f>
        <v>North</v>
      </c>
      <c r="J784" t="str">
        <f>VLOOKUP(C784,[1]Sheet!$A:$D,4,FALSE)</f>
        <v>Corporate</v>
      </c>
      <c r="K784">
        <f t="shared" si="12"/>
        <v>0.24158049982172378</v>
      </c>
    </row>
    <row r="785" spans="1:11" x14ac:dyDescent="0.25">
      <c r="A785" t="s">
        <v>1217</v>
      </c>
      <c r="B785" t="s">
        <v>275</v>
      </c>
      <c r="C785" t="s">
        <v>198</v>
      </c>
      <c r="D785" t="s">
        <v>22</v>
      </c>
      <c r="E785">
        <v>917.37</v>
      </c>
      <c r="F785">
        <v>6</v>
      </c>
      <c r="G785">
        <v>95.52</v>
      </c>
      <c r="H785">
        <v>0.05</v>
      </c>
      <c r="I785" t="str">
        <f>VLOOKUP(C785,[1]Sheet!$A:$D,3,FALSE)</f>
        <v>South</v>
      </c>
      <c r="J785" t="str">
        <f>VLOOKUP(C785,[1]Sheet!$A:$D,4,FALSE)</f>
        <v>Home Office</v>
      </c>
      <c r="K785">
        <f t="shared" si="12"/>
        <v>0.10412374505379508</v>
      </c>
    </row>
    <row r="786" spans="1:11" x14ac:dyDescent="0.25">
      <c r="A786" t="s">
        <v>1218</v>
      </c>
      <c r="B786" t="s">
        <v>1219</v>
      </c>
      <c r="C786" t="s">
        <v>28</v>
      </c>
      <c r="D786" t="s">
        <v>11</v>
      </c>
      <c r="E786">
        <v>4992.32</v>
      </c>
      <c r="F786">
        <v>9</v>
      </c>
      <c r="G786">
        <v>913.11</v>
      </c>
      <c r="H786">
        <v>0.1</v>
      </c>
      <c r="I786" t="str">
        <f>VLOOKUP(C786,[1]Sheet!$A:$D,3,FALSE)</f>
        <v>East</v>
      </c>
      <c r="J786" t="str">
        <f>VLOOKUP(C786,[1]Sheet!$A:$D,4,FALSE)</f>
        <v>Consumer</v>
      </c>
      <c r="K786">
        <f t="shared" si="12"/>
        <v>0.18290293891417217</v>
      </c>
    </row>
    <row r="787" spans="1:11" x14ac:dyDescent="0.25">
      <c r="A787" t="s">
        <v>1220</v>
      </c>
      <c r="B787" t="s">
        <v>767</v>
      </c>
      <c r="C787" t="s">
        <v>348</v>
      </c>
      <c r="D787" t="s">
        <v>22</v>
      </c>
      <c r="E787">
        <v>2120.48</v>
      </c>
      <c r="F787">
        <v>4</v>
      </c>
      <c r="G787">
        <v>508.86</v>
      </c>
      <c r="H787">
        <v>0.2</v>
      </c>
      <c r="I787" t="str">
        <f>VLOOKUP(C787,[1]Sheet!$A:$D,3,FALSE)</f>
        <v>East</v>
      </c>
      <c r="J787" t="str">
        <f>VLOOKUP(C787,[1]Sheet!$A:$D,4,FALSE)</f>
        <v>Consumer</v>
      </c>
      <c r="K787">
        <f t="shared" si="12"/>
        <v>0.23997396815815286</v>
      </c>
    </row>
    <row r="788" spans="1:11" x14ac:dyDescent="0.25">
      <c r="A788" t="s">
        <v>1221</v>
      </c>
      <c r="B788" t="s">
        <v>1003</v>
      </c>
      <c r="C788" t="s">
        <v>68</v>
      </c>
      <c r="D788" t="s">
        <v>11</v>
      </c>
      <c r="E788">
        <v>1148.25</v>
      </c>
      <c r="F788">
        <v>8</v>
      </c>
      <c r="G788">
        <v>321.18</v>
      </c>
      <c r="H788">
        <v>0.15</v>
      </c>
      <c r="I788" t="str">
        <f>VLOOKUP(C788,[1]Sheet!$A:$D,3,FALSE)</f>
        <v>East</v>
      </c>
      <c r="J788" t="str">
        <f>VLOOKUP(C788,[1]Sheet!$A:$D,4,FALSE)</f>
        <v>Corporate</v>
      </c>
      <c r="K788">
        <f t="shared" si="12"/>
        <v>0.27971260613977794</v>
      </c>
    </row>
    <row r="789" spans="1:11" x14ac:dyDescent="0.25">
      <c r="A789" t="s">
        <v>1222</v>
      </c>
      <c r="B789" t="s">
        <v>455</v>
      </c>
      <c r="C789" t="s">
        <v>432</v>
      </c>
      <c r="D789" t="s">
        <v>22</v>
      </c>
      <c r="E789">
        <v>100.96</v>
      </c>
      <c r="F789">
        <v>1</v>
      </c>
      <c r="G789">
        <v>6.1</v>
      </c>
      <c r="H789">
        <v>0.2</v>
      </c>
      <c r="I789" t="str">
        <f>VLOOKUP(C789,[1]Sheet!$A:$D,3,FALSE)</f>
        <v>East</v>
      </c>
      <c r="J789" t="str">
        <f>VLOOKUP(C789,[1]Sheet!$A:$D,4,FALSE)</f>
        <v>Consumer</v>
      </c>
      <c r="K789">
        <f t="shared" si="12"/>
        <v>6.0419968304278926E-2</v>
      </c>
    </row>
    <row r="790" spans="1:11" x14ac:dyDescent="0.25">
      <c r="A790" t="s">
        <v>1223</v>
      </c>
      <c r="B790" t="s">
        <v>536</v>
      </c>
      <c r="C790" t="s">
        <v>355</v>
      </c>
      <c r="D790" t="s">
        <v>15</v>
      </c>
      <c r="E790">
        <v>4967.72</v>
      </c>
      <c r="F790">
        <v>4</v>
      </c>
      <c r="G790">
        <v>698.23</v>
      </c>
      <c r="H790">
        <v>0.1</v>
      </c>
      <c r="I790" t="str">
        <f>VLOOKUP(C790,[1]Sheet!$A:$D,3,FALSE)</f>
        <v>North</v>
      </c>
      <c r="J790" t="str">
        <f>VLOOKUP(C790,[1]Sheet!$A:$D,4,FALSE)</f>
        <v>Consumer</v>
      </c>
      <c r="K790">
        <f t="shared" si="12"/>
        <v>0.14055341283325146</v>
      </c>
    </row>
    <row r="791" spans="1:11" x14ac:dyDescent="0.25">
      <c r="A791" t="s">
        <v>1224</v>
      </c>
      <c r="B791" t="s">
        <v>798</v>
      </c>
      <c r="C791" t="s">
        <v>331</v>
      </c>
      <c r="D791" t="s">
        <v>22</v>
      </c>
      <c r="E791">
        <v>3880.46</v>
      </c>
      <c r="F791">
        <v>9</v>
      </c>
      <c r="G791">
        <v>1292.21</v>
      </c>
      <c r="H791">
        <v>0.2</v>
      </c>
      <c r="I791" t="str">
        <f>VLOOKUP(C791,[1]Sheet!$A:$D,3,FALSE)</f>
        <v>South</v>
      </c>
      <c r="J791" t="str">
        <f>VLOOKUP(C791,[1]Sheet!$A:$D,4,FALSE)</f>
        <v>Consumer</v>
      </c>
      <c r="K791">
        <f t="shared" si="12"/>
        <v>0.33300433453765793</v>
      </c>
    </row>
    <row r="792" spans="1:11" x14ac:dyDescent="0.25">
      <c r="A792" t="s">
        <v>1225</v>
      </c>
      <c r="B792" t="s">
        <v>99</v>
      </c>
      <c r="C792" t="s">
        <v>235</v>
      </c>
      <c r="D792" t="s">
        <v>11</v>
      </c>
      <c r="E792">
        <v>4637.0200000000004</v>
      </c>
      <c r="F792">
        <v>6</v>
      </c>
      <c r="G792">
        <v>447.08</v>
      </c>
      <c r="H792">
        <v>0.05</v>
      </c>
      <c r="I792" t="str">
        <f>VLOOKUP(C792,[1]Sheet!$A:$D,3,FALSE)</f>
        <v>South</v>
      </c>
      <c r="J792" t="str">
        <f>VLOOKUP(C792,[1]Sheet!$A:$D,4,FALSE)</f>
        <v>Home Office</v>
      </c>
      <c r="K792">
        <f t="shared" si="12"/>
        <v>9.6415370216216434E-2</v>
      </c>
    </row>
    <row r="793" spans="1:11" x14ac:dyDescent="0.25">
      <c r="A793" t="s">
        <v>1226</v>
      </c>
      <c r="B793" t="s">
        <v>143</v>
      </c>
      <c r="C793" t="s">
        <v>355</v>
      </c>
      <c r="D793" t="s">
        <v>15</v>
      </c>
      <c r="E793">
        <v>1398.44</v>
      </c>
      <c r="F793">
        <v>5</v>
      </c>
      <c r="G793">
        <v>443.15</v>
      </c>
      <c r="H793">
        <v>0.1</v>
      </c>
      <c r="I793" t="str">
        <f>VLOOKUP(C793,[1]Sheet!$A:$D,3,FALSE)</f>
        <v>North</v>
      </c>
      <c r="J793" t="str">
        <f>VLOOKUP(C793,[1]Sheet!$A:$D,4,FALSE)</f>
        <v>Consumer</v>
      </c>
      <c r="K793">
        <f t="shared" si="12"/>
        <v>0.31688881896970905</v>
      </c>
    </row>
    <row r="794" spans="1:11" x14ac:dyDescent="0.25">
      <c r="A794" t="s">
        <v>1227</v>
      </c>
      <c r="B794" t="s">
        <v>183</v>
      </c>
      <c r="C794" t="s">
        <v>34</v>
      </c>
      <c r="D794" t="s">
        <v>22</v>
      </c>
      <c r="E794">
        <v>2895.39</v>
      </c>
      <c r="F794">
        <v>2</v>
      </c>
      <c r="G794">
        <v>639.07000000000005</v>
      </c>
      <c r="H794">
        <v>0.1</v>
      </c>
      <c r="I794" t="str">
        <f>VLOOKUP(C794,[1]Sheet!$A:$D,3,FALSE)</f>
        <v>West</v>
      </c>
      <c r="J794" t="str">
        <f>VLOOKUP(C794,[1]Sheet!$A:$D,4,FALSE)</f>
        <v>Home Office</v>
      </c>
      <c r="K794">
        <f t="shared" si="12"/>
        <v>0.22071983394292308</v>
      </c>
    </row>
    <row r="795" spans="1:11" x14ac:dyDescent="0.25">
      <c r="A795" t="s">
        <v>1228</v>
      </c>
      <c r="B795" t="s">
        <v>1229</v>
      </c>
      <c r="C795" t="s">
        <v>238</v>
      </c>
      <c r="D795" t="s">
        <v>22</v>
      </c>
      <c r="E795">
        <v>947.22</v>
      </c>
      <c r="F795">
        <v>10</v>
      </c>
      <c r="G795">
        <v>282</v>
      </c>
      <c r="H795">
        <v>0</v>
      </c>
      <c r="I795" t="str">
        <f>VLOOKUP(C795,[1]Sheet!$A:$D,3,FALSE)</f>
        <v>North</v>
      </c>
      <c r="J795" t="str">
        <f>VLOOKUP(C795,[1]Sheet!$A:$D,4,FALSE)</f>
        <v>Corporate</v>
      </c>
      <c r="K795">
        <f t="shared" si="12"/>
        <v>0.29771330841831883</v>
      </c>
    </row>
    <row r="796" spans="1:11" x14ac:dyDescent="0.25">
      <c r="A796" t="s">
        <v>1230</v>
      </c>
      <c r="B796" t="s">
        <v>552</v>
      </c>
      <c r="C796" t="s">
        <v>230</v>
      </c>
      <c r="D796" t="s">
        <v>11</v>
      </c>
      <c r="E796">
        <v>3247.05</v>
      </c>
      <c r="F796">
        <v>2</v>
      </c>
      <c r="G796">
        <v>198.76</v>
      </c>
      <c r="H796">
        <v>0</v>
      </c>
      <c r="I796" t="str">
        <f>VLOOKUP(C796,[1]Sheet!$A:$D,3,FALSE)</f>
        <v>South</v>
      </c>
      <c r="J796" t="str">
        <f>VLOOKUP(C796,[1]Sheet!$A:$D,4,FALSE)</f>
        <v>Consumer</v>
      </c>
      <c r="K796">
        <f t="shared" si="12"/>
        <v>6.1212485178854643E-2</v>
      </c>
    </row>
    <row r="797" spans="1:11" x14ac:dyDescent="0.25">
      <c r="A797" t="s">
        <v>1231</v>
      </c>
      <c r="B797" t="s">
        <v>951</v>
      </c>
      <c r="C797" t="s">
        <v>466</v>
      </c>
      <c r="D797" t="s">
        <v>11</v>
      </c>
      <c r="E797">
        <v>1738.51</v>
      </c>
      <c r="F797">
        <v>2</v>
      </c>
      <c r="G797">
        <v>545.78</v>
      </c>
      <c r="H797">
        <v>0.05</v>
      </c>
      <c r="I797" t="str">
        <f>VLOOKUP(C797,[1]Sheet!$A:$D,3,FALSE)</f>
        <v>South</v>
      </c>
      <c r="J797" t="str">
        <f>VLOOKUP(C797,[1]Sheet!$A:$D,4,FALSE)</f>
        <v>Consumer</v>
      </c>
      <c r="K797">
        <f t="shared" si="12"/>
        <v>0.31393549648837221</v>
      </c>
    </row>
    <row r="798" spans="1:11" x14ac:dyDescent="0.25">
      <c r="A798" t="s">
        <v>1232</v>
      </c>
      <c r="B798" t="s">
        <v>1233</v>
      </c>
      <c r="C798" t="s">
        <v>46</v>
      </c>
      <c r="D798" t="s">
        <v>22</v>
      </c>
      <c r="E798">
        <v>3298.62</v>
      </c>
      <c r="F798">
        <v>7</v>
      </c>
      <c r="G798">
        <v>760.96</v>
      </c>
      <c r="H798">
        <v>0</v>
      </c>
      <c r="I798" t="str">
        <f>VLOOKUP(C798,[1]Sheet!$A:$D,3,FALSE)</f>
        <v>North</v>
      </c>
      <c r="J798" t="str">
        <f>VLOOKUP(C798,[1]Sheet!$A:$D,4,FALSE)</f>
        <v>Corporate</v>
      </c>
      <c r="K798">
        <f t="shared" si="12"/>
        <v>0.23069040992900064</v>
      </c>
    </row>
    <row r="799" spans="1:11" x14ac:dyDescent="0.25">
      <c r="A799" t="s">
        <v>1234</v>
      </c>
      <c r="B799" t="s">
        <v>1076</v>
      </c>
      <c r="C799" t="s">
        <v>260</v>
      </c>
      <c r="D799" t="s">
        <v>15</v>
      </c>
      <c r="E799">
        <v>2669.48</v>
      </c>
      <c r="F799">
        <v>6</v>
      </c>
      <c r="G799">
        <v>389.2</v>
      </c>
      <c r="H799">
        <v>0.2</v>
      </c>
      <c r="I799" t="str">
        <f>VLOOKUP(C799,[1]Sheet!$A:$D,3,FALSE)</f>
        <v>West</v>
      </c>
      <c r="J799" t="str">
        <f>VLOOKUP(C799,[1]Sheet!$A:$D,4,FALSE)</f>
        <v>Corporate</v>
      </c>
      <c r="K799">
        <f t="shared" si="12"/>
        <v>0.14579618502479882</v>
      </c>
    </row>
    <row r="800" spans="1:11" x14ac:dyDescent="0.25">
      <c r="A800" t="s">
        <v>1235</v>
      </c>
      <c r="B800" t="s">
        <v>721</v>
      </c>
      <c r="C800" t="s">
        <v>122</v>
      </c>
      <c r="D800" t="s">
        <v>11</v>
      </c>
      <c r="E800">
        <v>1181.9100000000001</v>
      </c>
      <c r="F800">
        <v>10</v>
      </c>
      <c r="G800">
        <v>77.010000000000005</v>
      </c>
      <c r="H800">
        <v>0.2</v>
      </c>
      <c r="I800" t="str">
        <f>VLOOKUP(C800,[1]Sheet!$A:$D,3,FALSE)</f>
        <v>West</v>
      </c>
      <c r="J800" t="str">
        <f>VLOOKUP(C800,[1]Sheet!$A:$D,4,FALSE)</f>
        <v>Consumer</v>
      </c>
      <c r="K800">
        <f t="shared" si="12"/>
        <v>6.5157245475543829E-2</v>
      </c>
    </row>
    <row r="801" spans="1:11" x14ac:dyDescent="0.25">
      <c r="A801" t="s">
        <v>1236</v>
      </c>
      <c r="B801" t="s">
        <v>721</v>
      </c>
      <c r="C801" t="s">
        <v>291</v>
      </c>
      <c r="D801" t="s">
        <v>15</v>
      </c>
      <c r="E801">
        <v>541.41</v>
      </c>
      <c r="F801">
        <v>3</v>
      </c>
      <c r="G801">
        <v>97.23</v>
      </c>
      <c r="H801">
        <v>0.1</v>
      </c>
      <c r="I801" t="str">
        <f>VLOOKUP(C801,[1]Sheet!$A:$D,3,FALSE)</f>
        <v>East</v>
      </c>
      <c r="J801" t="str">
        <f>VLOOKUP(C801,[1]Sheet!$A:$D,4,FALSE)</f>
        <v>Home Office</v>
      </c>
      <c r="K801">
        <f t="shared" si="12"/>
        <v>0.17958663489776697</v>
      </c>
    </row>
    <row r="802" spans="1:11" x14ac:dyDescent="0.25">
      <c r="A802" t="s">
        <v>1237</v>
      </c>
      <c r="B802" t="s">
        <v>148</v>
      </c>
      <c r="C802" t="s">
        <v>320</v>
      </c>
      <c r="D802" t="s">
        <v>11</v>
      </c>
      <c r="E802">
        <v>2431.69</v>
      </c>
      <c r="F802">
        <v>5</v>
      </c>
      <c r="G802">
        <v>665.3</v>
      </c>
      <c r="H802">
        <v>0</v>
      </c>
      <c r="I802" t="str">
        <f>VLOOKUP(C802,[1]Sheet!$A:$D,3,FALSE)</f>
        <v>West</v>
      </c>
      <c r="J802" t="str">
        <f>VLOOKUP(C802,[1]Sheet!$A:$D,4,FALSE)</f>
        <v>Consumer</v>
      </c>
      <c r="K802">
        <f t="shared" si="12"/>
        <v>0.2735957297188375</v>
      </c>
    </row>
    <row r="803" spans="1:11" x14ac:dyDescent="0.25">
      <c r="A803" t="s">
        <v>1238</v>
      </c>
      <c r="B803" t="s">
        <v>982</v>
      </c>
      <c r="C803" t="s">
        <v>104</v>
      </c>
      <c r="D803" t="s">
        <v>15</v>
      </c>
      <c r="E803">
        <v>2558.9299999999998</v>
      </c>
      <c r="F803">
        <v>8</v>
      </c>
      <c r="G803">
        <v>722</v>
      </c>
      <c r="H803">
        <v>0.2</v>
      </c>
      <c r="I803" t="str">
        <f>VLOOKUP(C803,[1]Sheet!$A:$D,3,FALSE)</f>
        <v>South</v>
      </c>
      <c r="J803" t="str">
        <f>VLOOKUP(C803,[1]Sheet!$A:$D,4,FALSE)</f>
        <v>Home Office</v>
      </c>
      <c r="K803">
        <f t="shared" si="12"/>
        <v>0.28214917953988583</v>
      </c>
    </row>
    <row r="804" spans="1:11" x14ac:dyDescent="0.25">
      <c r="A804" t="s">
        <v>1239</v>
      </c>
      <c r="B804" t="s">
        <v>1148</v>
      </c>
      <c r="C804" t="s">
        <v>135</v>
      </c>
      <c r="D804" t="s">
        <v>22</v>
      </c>
      <c r="E804">
        <v>2490.52</v>
      </c>
      <c r="F804">
        <v>10</v>
      </c>
      <c r="G804">
        <v>611.86</v>
      </c>
      <c r="H804">
        <v>0.2</v>
      </c>
      <c r="I804" t="str">
        <f>VLOOKUP(C804,[1]Sheet!$A:$D,3,FALSE)</f>
        <v>East</v>
      </c>
      <c r="J804" t="str">
        <f>VLOOKUP(C804,[1]Sheet!$A:$D,4,FALSE)</f>
        <v>Home Office</v>
      </c>
      <c r="K804">
        <f t="shared" si="12"/>
        <v>0.24567560188233784</v>
      </c>
    </row>
    <row r="805" spans="1:11" x14ac:dyDescent="0.25">
      <c r="A805" t="s">
        <v>1240</v>
      </c>
      <c r="B805" t="s">
        <v>1241</v>
      </c>
      <c r="C805" t="s">
        <v>141</v>
      </c>
      <c r="D805" t="s">
        <v>11</v>
      </c>
      <c r="E805">
        <v>1287.3399999999999</v>
      </c>
      <c r="F805">
        <v>10</v>
      </c>
      <c r="G805">
        <v>167.2</v>
      </c>
      <c r="H805">
        <v>0</v>
      </c>
      <c r="I805" t="str">
        <f>VLOOKUP(C805,[1]Sheet!$A:$D,3,FALSE)</f>
        <v>East</v>
      </c>
      <c r="J805" t="str">
        <f>VLOOKUP(C805,[1]Sheet!$A:$D,4,FALSE)</f>
        <v>Corporate</v>
      </c>
      <c r="K805">
        <f t="shared" si="12"/>
        <v>0.12988021812419406</v>
      </c>
    </row>
    <row r="806" spans="1:11" x14ac:dyDescent="0.25">
      <c r="A806" t="s">
        <v>1242</v>
      </c>
      <c r="B806" t="s">
        <v>735</v>
      </c>
      <c r="C806" t="s">
        <v>412</v>
      </c>
      <c r="D806" t="s">
        <v>15</v>
      </c>
      <c r="E806">
        <v>3391.56</v>
      </c>
      <c r="F806">
        <v>6</v>
      </c>
      <c r="G806">
        <v>600.52</v>
      </c>
      <c r="H806">
        <v>0.1</v>
      </c>
      <c r="I806" t="str">
        <f>VLOOKUP(C806,[1]Sheet!$A:$D,3,FALSE)</f>
        <v>West</v>
      </c>
      <c r="J806" t="str">
        <f>VLOOKUP(C806,[1]Sheet!$A:$D,4,FALSE)</f>
        <v>Corporate</v>
      </c>
      <c r="K806">
        <f t="shared" si="12"/>
        <v>0.17706306242555048</v>
      </c>
    </row>
    <row r="807" spans="1:11" x14ac:dyDescent="0.25">
      <c r="A807" t="s">
        <v>1243</v>
      </c>
      <c r="B807" t="s">
        <v>129</v>
      </c>
      <c r="C807" t="s">
        <v>230</v>
      </c>
      <c r="D807" t="s">
        <v>11</v>
      </c>
      <c r="E807">
        <v>3311.51</v>
      </c>
      <c r="F807">
        <v>10</v>
      </c>
      <c r="G807">
        <v>930.22</v>
      </c>
      <c r="H807">
        <v>0.15</v>
      </c>
      <c r="I807" t="str">
        <f>VLOOKUP(C807,[1]Sheet!$A:$D,3,FALSE)</f>
        <v>South</v>
      </c>
      <c r="J807" t="str">
        <f>VLOOKUP(C807,[1]Sheet!$A:$D,4,FALSE)</f>
        <v>Consumer</v>
      </c>
      <c r="K807">
        <f t="shared" si="12"/>
        <v>0.28090508559539301</v>
      </c>
    </row>
    <row r="808" spans="1:11" x14ac:dyDescent="0.25">
      <c r="A808" t="s">
        <v>1244</v>
      </c>
      <c r="B808" t="s">
        <v>785</v>
      </c>
      <c r="C808" t="s">
        <v>94</v>
      </c>
      <c r="D808" t="s">
        <v>15</v>
      </c>
      <c r="E808">
        <v>814.51</v>
      </c>
      <c r="F808">
        <v>6</v>
      </c>
      <c r="G808">
        <v>51.69</v>
      </c>
      <c r="H808">
        <v>0.05</v>
      </c>
      <c r="I808" t="str">
        <f>VLOOKUP(C808,[1]Sheet!$A:$D,3,FALSE)</f>
        <v>East</v>
      </c>
      <c r="J808" t="str">
        <f>VLOOKUP(C808,[1]Sheet!$A:$D,4,FALSE)</f>
        <v>Corporate</v>
      </c>
      <c r="K808">
        <f t="shared" si="12"/>
        <v>6.3461467630845536E-2</v>
      </c>
    </row>
    <row r="809" spans="1:11" x14ac:dyDescent="0.25">
      <c r="A809" t="s">
        <v>1245</v>
      </c>
      <c r="B809" t="s">
        <v>1164</v>
      </c>
      <c r="C809" t="s">
        <v>181</v>
      </c>
      <c r="D809" t="s">
        <v>15</v>
      </c>
      <c r="E809">
        <v>3669.59</v>
      </c>
      <c r="F809">
        <v>10</v>
      </c>
      <c r="G809">
        <v>277.95</v>
      </c>
      <c r="H809">
        <v>0.05</v>
      </c>
      <c r="I809" t="str">
        <f>VLOOKUP(C809,[1]Sheet!$A:$D,3,FALSE)</f>
        <v>North</v>
      </c>
      <c r="J809" t="str">
        <f>VLOOKUP(C809,[1]Sheet!$A:$D,4,FALSE)</f>
        <v>Home Office</v>
      </c>
      <c r="K809">
        <f t="shared" si="12"/>
        <v>7.574415670415495E-2</v>
      </c>
    </row>
    <row r="810" spans="1:11" x14ac:dyDescent="0.25">
      <c r="A810" t="s">
        <v>1246</v>
      </c>
      <c r="B810" t="s">
        <v>370</v>
      </c>
      <c r="C810" t="s">
        <v>324</v>
      </c>
      <c r="D810" t="s">
        <v>11</v>
      </c>
      <c r="E810">
        <v>167.29</v>
      </c>
      <c r="F810">
        <v>8</v>
      </c>
      <c r="G810">
        <v>43.18</v>
      </c>
      <c r="H810">
        <v>0.15</v>
      </c>
      <c r="I810" t="str">
        <f>VLOOKUP(C810,[1]Sheet!$A:$D,3,FALSE)</f>
        <v>North</v>
      </c>
      <c r="J810" t="str">
        <f>VLOOKUP(C810,[1]Sheet!$A:$D,4,FALSE)</f>
        <v>Home Office</v>
      </c>
      <c r="K810">
        <f t="shared" si="12"/>
        <v>0.25811465120449517</v>
      </c>
    </row>
    <row r="811" spans="1:11" x14ac:dyDescent="0.25">
      <c r="A811" t="s">
        <v>1247</v>
      </c>
      <c r="B811" t="s">
        <v>1248</v>
      </c>
      <c r="C811" t="s">
        <v>331</v>
      </c>
      <c r="D811" t="s">
        <v>15</v>
      </c>
      <c r="E811">
        <v>1726.2</v>
      </c>
      <c r="F811">
        <v>9</v>
      </c>
      <c r="G811">
        <v>469.53</v>
      </c>
      <c r="H811">
        <v>0.2</v>
      </c>
      <c r="I811" t="str">
        <f>VLOOKUP(C811,[1]Sheet!$A:$D,3,FALSE)</f>
        <v>South</v>
      </c>
      <c r="J811" t="str">
        <f>VLOOKUP(C811,[1]Sheet!$A:$D,4,FALSE)</f>
        <v>Consumer</v>
      </c>
      <c r="K811">
        <f t="shared" si="12"/>
        <v>0.27200208550573513</v>
      </c>
    </row>
    <row r="812" spans="1:11" x14ac:dyDescent="0.25">
      <c r="A812" t="s">
        <v>1249</v>
      </c>
      <c r="B812" t="s">
        <v>257</v>
      </c>
      <c r="C812" t="s">
        <v>181</v>
      </c>
      <c r="D812" t="s">
        <v>22</v>
      </c>
      <c r="E812">
        <v>1367.42</v>
      </c>
      <c r="F812">
        <v>1</v>
      </c>
      <c r="G812">
        <v>266.52</v>
      </c>
      <c r="H812">
        <v>0.15</v>
      </c>
      <c r="I812" t="str">
        <f>VLOOKUP(C812,[1]Sheet!$A:$D,3,FALSE)</f>
        <v>North</v>
      </c>
      <c r="J812" t="str">
        <f>VLOOKUP(C812,[1]Sheet!$A:$D,4,FALSE)</f>
        <v>Home Office</v>
      </c>
      <c r="K812">
        <f t="shared" si="12"/>
        <v>0.19490719749601437</v>
      </c>
    </row>
    <row r="813" spans="1:11" x14ac:dyDescent="0.25">
      <c r="A813" t="s">
        <v>1250</v>
      </c>
      <c r="B813" t="s">
        <v>1003</v>
      </c>
      <c r="C813" t="s">
        <v>88</v>
      </c>
      <c r="D813" t="s">
        <v>15</v>
      </c>
      <c r="E813">
        <v>4539.6000000000004</v>
      </c>
      <c r="F813">
        <v>1</v>
      </c>
      <c r="G813">
        <v>944.42</v>
      </c>
      <c r="H813">
        <v>0.1</v>
      </c>
      <c r="I813" t="str">
        <f>VLOOKUP(C813,[1]Sheet!$A:$D,3,FALSE)</f>
        <v>North</v>
      </c>
      <c r="J813" t="str">
        <f>VLOOKUP(C813,[1]Sheet!$A:$D,4,FALSE)</f>
        <v>Home Office</v>
      </c>
      <c r="K813">
        <f t="shared" si="12"/>
        <v>0.20804035597850029</v>
      </c>
    </row>
    <row r="814" spans="1:11" x14ac:dyDescent="0.25">
      <c r="A814" t="s">
        <v>1251</v>
      </c>
      <c r="B814" t="s">
        <v>1164</v>
      </c>
      <c r="C814" t="s">
        <v>135</v>
      </c>
      <c r="D814" t="s">
        <v>11</v>
      </c>
      <c r="E814">
        <v>3967.02</v>
      </c>
      <c r="F814">
        <v>1</v>
      </c>
      <c r="G814">
        <v>933.79</v>
      </c>
      <c r="H814">
        <v>0</v>
      </c>
      <c r="I814" t="str">
        <f>VLOOKUP(C814,[1]Sheet!$A:$D,3,FALSE)</f>
        <v>East</v>
      </c>
      <c r="J814" t="str">
        <f>VLOOKUP(C814,[1]Sheet!$A:$D,4,FALSE)</f>
        <v>Home Office</v>
      </c>
      <c r="K814">
        <f t="shared" si="12"/>
        <v>0.2353882763384102</v>
      </c>
    </row>
    <row r="815" spans="1:11" x14ac:dyDescent="0.25">
      <c r="A815" t="s">
        <v>1252</v>
      </c>
      <c r="B815" t="s">
        <v>377</v>
      </c>
      <c r="C815" t="s">
        <v>301</v>
      </c>
      <c r="D815" t="s">
        <v>11</v>
      </c>
      <c r="E815">
        <v>3335.83</v>
      </c>
      <c r="F815">
        <v>2</v>
      </c>
      <c r="G815">
        <v>830.27</v>
      </c>
      <c r="H815">
        <v>0</v>
      </c>
      <c r="I815" t="str">
        <f>VLOOKUP(C815,[1]Sheet!$A:$D,3,FALSE)</f>
        <v>West</v>
      </c>
      <c r="J815" t="str">
        <f>VLOOKUP(C815,[1]Sheet!$A:$D,4,FALSE)</f>
        <v>Consumer</v>
      </c>
      <c r="K815">
        <f t="shared" si="12"/>
        <v>0.24889457796110714</v>
      </c>
    </row>
    <row r="816" spans="1:11" x14ac:dyDescent="0.25">
      <c r="A816" t="s">
        <v>1253</v>
      </c>
      <c r="B816" t="s">
        <v>1078</v>
      </c>
      <c r="C816" t="s">
        <v>495</v>
      </c>
      <c r="D816" t="s">
        <v>11</v>
      </c>
      <c r="E816">
        <v>4350.3100000000004</v>
      </c>
      <c r="F816">
        <v>9</v>
      </c>
      <c r="G816">
        <v>1065.06</v>
      </c>
      <c r="H816">
        <v>0</v>
      </c>
      <c r="I816" t="str">
        <f>VLOOKUP(C816,[1]Sheet!$A:$D,3,FALSE)</f>
        <v>South</v>
      </c>
      <c r="J816" t="str">
        <f>VLOOKUP(C816,[1]Sheet!$A:$D,4,FALSE)</f>
        <v>Home Office</v>
      </c>
      <c r="K816">
        <f t="shared" si="12"/>
        <v>0.24482393208759831</v>
      </c>
    </row>
    <row r="817" spans="1:11" x14ac:dyDescent="0.25">
      <c r="A817" t="s">
        <v>1254</v>
      </c>
      <c r="B817" t="s">
        <v>1255</v>
      </c>
      <c r="C817" t="s">
        <v>155</v>
      </c>
      <c r="D817" t="s">
        <v>15</v>
      </c>
      <c r="E817">
        <v>2474.84</v>
      </c>
      <c r="F817">
        <v>4</v>
      </c>
      <c r="G817">
        <v>567.05999999999995</v>
      </c>
      <c r="H817">
        <v>0.2</v>
      </c>
      <c r="I817" t="str">
        <f>VLOOKUP(C817,[1]Sheet!$A:$D,3,FALSE)</f>
        <v>East</v>
      </c>
      <c r="J817" t="str">
        <f>VLOOKUP(C817,[1]Sheet!$A:$D,4,FALSE)</f>
        <v>Home Office</v>
      </c>
      <c r="K817">
        <f t="shared" si="12"/>
        <v>0.2291299639572659</v>
      </c>
    </row>
    <row r="818" spans="1:11" x14ac:dyDescent="0.25">
      <c r="A818" t="s">
        <v>1256</v>
      </c>
      <c r="B818" t="s">
        <v>269</v>
      </c>
      <c r="C818" t="s">
        <v>102</v>
      </c>
      <c r="D818" t="s">
        <v>15</v>
      </c>
      <c r="E818">
        <v>2847.37</v>
      </c>
      <c r="F818">
        <v>9</v>
      </c>
      <c r="G818">
        <v>750.97</v>
      </c>
      <c r="H818">
        <v>0.1</v>
      </c>
      <c r="I818" t="str">
        <f>VLOOKUP(C818,[1]Sheet!$A:$D,3,FALSE)</f>
        <v>South</v>
      </c>
      <c r="J818" t="str">
        <f>VLOOKUP(C818,[1]Sheet!$A:$D,4,FALSE)</f>
        <v>Home Office</v>
      </c>
      <c r="K818">
        <f t="shared" si="12"/>
        <v>0.26374162823939284</v>
      </c>
    </row>
    <row r="819" spans="1:11" x14ac:dyDescent="0.25">
      <c r="A819" t="s">
        <v>1257</v>
      </c>
      <c r="B819" t="s">
        <v>1258</v>
      </c>
      <c r="C819" t="s">
        <v>456</v>
      </c>
      <c r="D819" t="s">
        <v>11</v>
      </c>
      <c r="E819">
        <v>2500.67</v>
      </c>
      <c r="F819">
        <v>6</v>
      </c>
      <c r="G819">
        <v>683.48</v>
      </c>
      <c r="H819">
        <v>0.1</v>
      </c>
      <c r="I819" t="str">
        <f>VLOOKUP(C819,[1]Sheet!$A:$D,3,FALSE)</f>
        <v>East</v>
      </c>
      <c r="J819" t="str">
        <f>VLOOKUP(C819,[1]Sheet!$A:$D,4,FALSE)</f>
        <v>Consumer</v>
      </c>
      <c r="K819">
        <f t="shared" si="12"/>
        <v>0.27331875057484595</v>
      </c>
    </row>
    <row r="820" spans="1:11" x14ac:dyDescent="0.25">
      <c r="A820" t="s">
        <v>1259</v>
      </c>
      <c r="B820" t="s">
        <v>1072</v>
      </c>
      <c r="C820" t="s">
        <v>10</v>
      </c>
      <c r="D820" t="s">
        <v>11</v>
      </c>
      <c r="E820">
        <v>1581.4</v>
      </c>
      <c r="F820">
        <v>1</v>
      </c>
      <c r="G820">
        <v>551.59</v>
      </c>
      <c r="H820">
        <v>0.1</v>
      </c>
      <c r="I820" t="str">
        <f>VLOOKUP(C820,[1]Sheet!$A:$D,3,FALSE)</f>
        <v>North</v>
      </c>
      <c r="J820" t="str">
        <f>VLOOKUP(C820,[1]Sheet!$A:$D,4,FALSE)</f>
        <v>Consumer</v>
      </c>
      <c r="K820">
        <f t="shared" si="12"/>
        <v>0.34879853294549135</v>
      </c>
    </row>
    <row r="821" spans="1:11" x14ac:dyDescent="0.25">
      <c r="A821" t="s">
        <v>1260</v>
      </c>
      <c r="B821" t="s">
        <v>522</v>
      </c>
      <c r="C821" t="s">
        <v>301</v>
      </c>
      <c r="D821" t="s">
        <v>22</v>
      </c>
      <c r="E821">
        <v>4462.97</v>
      </c>
      <c r="F821">
        <v>5</v>
      </c>
      <c r="G821">
        <v>1314.16</v>
      </c>
      <c r="H821">
        <v>0.05</v>
      </c>
      <c r="I821" t="str">
        <f>VLOOKUP(C821,[1]Sheet!$A:$D,3,FALSE)</f>
        <v>West</v>
      </c>
      <c r="J821" t="str">
        <f>VLOOKUP(C821,[1]Sheet!$A:$D,4,FALSE)</f>
        <v>Consumer</v>
      </c>
      <c r="K821">
        <f t="shared" si="12"/>
        <v>0.29445862284532498</v>
      </c>
    </row>
    <row r="822" spans="1:11" x14ac:dyDescent="0.25">
      <c r="A822" t="s">
        <v>1261</v>
      </c>
      <c r="B822" t="s">
        <v>417</v>
      </c>
      <c r="C822" t="s">
        <v>43</v>
      </c>
      <c r="D822" t="s">
        <v>15</v>
      </c>
      <c r="E822">
        <v>1774.75</v>
      </c>
      <c r="F822">
        <v>7</v>
      </c>
      <c r="G822">
        <v>297.89999999999998</v>
      </c>
      <c r="H822">
        <v>0.2</v>
      </c>
      <c r="I822" t="str">
        <f>VLOOKUP(C822,[1]Sheet!$A:$D,3,FALSE)</f>
        <v>East</v>
      </c>
      <c r="J822" t="str">
        <f>VLOOKUP(C822,[1]Sheet!$A:$D,4,FALSE)</f>
        <v>Corporate</v>
      </c>
      <c r="K822">
        <f t="shared" si="12"/>
        <v>0.16785462741231158</v>
      </c>
    </row>
    <row r="823" spans="1:11" x14ac:dyDescent="0.25">
      <c r="A823" t="s">
        <v>1262</v>
      </c>
      <c r="B823" t="s">
        <v>101</v>
      </c>
      <c r="C823" t="s">
        <v>51</v>
      </c>
      <c r="D823" t="s">
        <v>11</v>
      </c>
      <c r="E823">
        <v>3101</v>
      </c>
      <c r="F823">
        <v>4</v>
      </c>
      <c r="G823">
        <v>736.98</v>
      </c>
      <c r="H823">
        <v>0.2</v>
      </c>
      <c r="I823" t="str">
        <f>VLOOKUP(C823,[1]Sheet!$A:$D,3,FALSE)</f>
        <v>South</v>
      </c>
      <c r="J823" t="str">
        <f>VLOOKUP(C823,[1]Sheet!$A:$D,4,FALSE)</f>
        <v>Consumer</v>
      </c>
      <c r="K823">
        <f t="shared" si="12"/>
        <v>0.23765881973556918</v>
      </c>
    </row>
    <row r="824" spans="1:11" x14ac:dyDescent="0.25">
      <c r="A824" t="s">
        <v>1263</v>
      </c>
      <c r="B824" t="s">
        <v>73</v>
      </c>
      <c r="C824" t="s">
        <v>43</v>
      </c>
      <c r="D824" t="s">
        <v>11</v>
      </c>
      <c r="E824">
        <v>2189.6799999999998</v>
      </c>
      <c r="F824">
        <v>8</v>
      </c>
      <c r="G824">
        <v>314.69</v>
      </c>
      <c r="H824">
        <v>0.2</v>
      </c>
      <c r="I824" t="str">
        <f>VLOOKUP(C824,[1]Sheet!$A:$D,3,FALSE)</f>
        <v>East</v>
      </c>
      <c r="J824" t="str">
        <f>VLOOKUP(C824,[1]Sheet!$A:$D,4,FALSE)</f>
        <v>Corporate</v>
      </c>
      <c r="K824">
        <f t="shared" si="12"/>
        <v>0.14371506338825765</v>
      </c>
    </row>
    <row r="825" spans="1:11" x14ac:dyDescent="0.25">
      <c r="A825" t="s">
        <v>1264</v>
      </c>
      <c r="B825" t="s">
        <v>1024</v>
      </c>
      <c r="C825" t="s">
        <v>184</v>
      </c>
      <c r="D825" t="s">
        <v>22</v>
      </c>
      <c r="E825">
        <v>1113.1099999999999</v>
      </c>
      <c r="F825">
        <v>4</v>
      </c>
      <c r="G825">
        <v>101.93</v>
      </c>
      <c r="H825">
        <v>0.05</v>
      </c>
      <c r="I825" t="str">
        <f>VLOOKUP(C825,[1]Sheet!$A:$D,3,FALSE)</f>
        <v>South</v>
      </c>
      <c r="J825" t="str">
        <f>VLOOKUP(C825,[1]Sheet!$A:$D,4,FALSE)</f>
        <v>Corporate</v>
      </c>
      <c r="K825">
        <f t="shared" si="12"/>
        <v>9.1572261501558713E-2</v>
      </c>
    </row>
    <row r="826" spans="1:11" x14ac:dyDescent="0.25">
      <c r="A826" t="s">
        <v>1265</v>
      </c>
      <c r="B826" t="s">
        <v>1174</v>
      </c>
      <c r="C826" t="s">
        <v>260</v>
      </c>
      <c r="D826" t="s">
        <v>11</v>
      </c>
      <c r="E826">
        <v>3473.81</v>
      </c>
      <c r="F826">
        <v>3</v>
      </c>
      <c r="G826">
        <v>1110.21</v>
      </c>
      <c r="H826">
        <v>0.2</v>
      </c>
      <c r="I826" t="str">
        <f>VLOOKUP(C826,[1]Sheet!$A:$D,3,FALSE)</f>
        <v>West</v>
      </c>
      <c r="J826" t="str">
        <f>VLOOKUP(C826,[1]Sheet!$A:$D,4,FALSE)</f>
        <v>Corporate</v>
      </c>
      <c r="K826">
        <f t="shared" si="12"/>
        <v>0.3195943359020787</v>
      </c>
    </row>
    <row r="827" spans="1:11" x14ac:dyDescent="0.25">
      <c r="A827" t="s">
        <v>1266</v>
      </c>
      <c r="B827" t="s">
        <v>749</v>
      </c>
      <c r="C827" t="s">
        <v>82</v>
      </c>
      <c r="D827" t="s">
        <v>15</v>
      </c>
      <c r="E827">
        <v>1655.73</v>
      </c>
      <c r="F827">
        <v>6</v>
      </c>
      <c r="G827">
        <v>359.63</v>
      </c>
      <c r="H827">
        <v>0.05</v>
      </c>
      <c r="I827" t="str">
        <f>VLOOKUP(C827,[1]Sheet!$A:$D,3,FALSE)</f>
        <v>East</v>
      </c>
      <c r="J827" t="str">
        <f>VLOOKUP(C827,[1]Sheet!$A:$D,4,FALSE)</f>
        <v>Consumer</v>
      </c>
      <c r="K827">
        <f t="shared" si="12"/>
        <v>0.21720328797569652</v>
      </c>
    </row>
    <row r="828" spans="1:11" x14ac:dyDescent="0.25">
      <c r="A828" t="s">
        <v>1267</v>
      </c>
      <c r="B828" t="s">
        <v>711</v>
      </c>
      <c r="C828" t="s">
        <v>110</v>
      </c>
      <c r="D828" t="s">
        <v>11</v>
      </c>
      <c r="E828">
        <v>244.47</v>
      </c>
      <c r="F828">
        <v>5</v>
      </c>
      <c r="G828">
        <v>35.6</v>
      </c>
      <c r="H828">
        <v>0.15</v>
      </c>
      <c r="I828" t="str">
        <f>VLOOKUP(C828,[1]Sheet!$A:$D,3,FALSE)</f>
        <v>West</v>
      </c>
      <c r="J828" t="str">
        <f>VLOOKUP(C828,[1]Sheet!$A:$D,4,FALSE)</f>
        <v>Consumer</v>
      </c>
      <c r="K828">
        <f t="shared" si="12"/>
        <v>0.14562113960813189</v>
      </c>
    </row>
    <row r="829" spans="1:11" x14ac:dyDescent="0.25">
      <c r="A829" t="s">
        <v>1268</v>
      </c>
      <c r="B829" t="s">
        <v>330</v>
      </c>
      <c r="C829" t="s">
        <v>46</v>
      </c>
      <c r="D829" t="s">
        <v>15</v>
      </c>
      <c r="E829">
        <v>4675.47</v>
      </c>
      <c r="F829">
        <v>4</v>
      </c>
      <c r="G829">
        <v>1487.92</v>
      </c>
      <c r="H829">
        <v>0</v>
      </c>
      <c r="I829" t="str">
        <f>VLOOKUP(C829,[1]Sheet!$A:$D,3,FALSE)</f>
        <v>North</v>
      </c>
      <c r="J829" t="str">
        <f>VLOOKUP(C829,[1]Sheet!$A:$D,4,FALSE)</f>
        <v>Corporate</v>
      </c>
      <c r="K829">
        <f t="shared" si="12"/>
        <v>0.3182396636060118</v>
      </c>
    </row>
    <row r="830" spans="1:11" x14ac:dyDescent="0.25">
      <c r="A830" t="s">
        <v>1269</v>
      </c>
      <c r="B830" t="s">
        <v>578</v>
      </c>
      <c r="C830" t="s">
        <v>184</v>
      </c>
      <c r="D830" t="s">
        <v>22</v>
      </c>
      <c r="E830">
        <v>1005.26</v>
      </c>
      <c r="F830">
        <v>5</v>
      </c>
      <c r="G830">
        <v>280.2</v>
      </c>
      <c r="H830">
        <v>0.2</v>
      </c>
      <c r="I830" t="str">
        <f>VLOOKUP(C830,[1]Sheet!$A:$D,3,FALSE)</f>
        <v>South</v>
      </c>
      <c r="J830" t="str">
        <f>VLOOKUP(C830,[1]Sheet!$A:$D,4,FALSE)</f>
        <v>Corporate</v>
      </c>
      <c r="K830">
        <f t="shared" si="12"/>
        <v>0.27873385989694205</v>
      </c>
    </row>
    <row r="831" spans="1:11" x14ac:dyDescent="0.25">
      <c r="A831" t="s">
        <v>1270</v>
      </c>
      <c r="B831" t="s">
        <v>1078</v>
      </c>
      <c r="C831" t="s">
        <v>62</v>
      </c>
      <c r="D831" t="s">
        <v>22</v>
      </c>
      <c r="E831">
        <v>3100.57</v>
      </c>
      <c r="F831">
        <v>1</v>
      </c>
      <c r="G831">
        <v>709.75</v>
      </c>
      <c r="H831">
        <v>0.1</v>
      </c>
      <c r="I831" t="str">
        <f>VLOOKUP(C831,[1]Sheet!$A:$D,3,FALSE)</f>
        <v>East</v>
      </c>
      <c r="J831" t="str">
        <f>VLOOKUP(C831,[1]Sheet!$A:$D,4,FALSE)</f>
        <v>Home Office</v>
      </c>
      <c r="K831">
        <f t="shared" si="12"/>
        <v>0.2289095230876903</v>
      </c>
    </row>
    <row r="832" spans="1:11" x14ac:dyDescent="0.25">
      <c r="A832" t="s">
        <v>1271</v>
      </c>
      <c r="B832" t="s">
        <v>472</v>
      </c>
      <c r="C832" t="s">
        <v>320</v>
      </c>
      <c r="D832" t="s">
        <v>22</v>
      </c>
      <c r="E832">
        <v>3471.89</v>
      </c>
      <c r="F832">
        <v>8</v>
      </c>
      <c r="G832">
        <v>670.01</v>
      </c>
      <c r="H832">
        <v>0.1</v>
      </c>
      <c r="I832" t="str">
        <f>VLOOKUP(C832,[1]Sheet!$A:$D,3,FALSE)</f>
        <v>West</v>
      </c>
      <c r="J832" t="str">
        <f>VLOOKUP(C832,[1]Sheet!$A:$D,4,FALSE)</f>
        <v>Consumer</v>
      </c>
      <c r="K832">
        <f t="shared" si="12"/>
        <v>0.19298134445503745</v>
      </c>
    </row>
    <row r="833" spans="1:11" x14ac:dyDescent="0.25">
      <c r="A833" t="s">
        <v>1272</v>
      </c>
      <c r="B833" t="s">
        <v>417</v>
      </c>
      <c r="C833" t="s">
        <v>676</v>
      </c>
      <c r="D833" t="s">
        <v>15</v>
      </c>
      <c r="E833">
        <v>4275.43</v>
      </c>
      <c r="F833">
        <v>4</v>
      </c>
      <c r="G833">
        <v>844.11</v>
      </c>
      <c r="H833">
        <v>0.05</v>
      </c>
      <c r="I833" t="str">
        <f>VLOOKUP(C833,[1]Sheet!$A:$D,3,FALSE)</f>
        <v>North</v>
      </c>
      <c r="J833" t="str">
        <f>VLOOKUP(C833,[1]Sheet!$A:$D,4,FALSE)</f>
        <v>Home Office</v>
      </c>
      <c r="K833">
        <f t="shared" si="12"/>
        <v>0.19743277284390107</v>
      </c>
    </row>
    <row r="834" spans="1:11" x14ac:dyDescent="0.25">
      <c r="A834" t="s">
        <v>1273</v>
      </c>
      <c r="B834" t="s">
        <v>200</v>
      </c>
      <c r="C834" t="s">
        <v>484</v>
      </c>
      <c r="D834" t="s">
        <v>11</v>
      </c>
      <c r="E834">
        <v>2102.09</v>
      </c>
      <c r="F834">
        <v>4</v>
      </c>
      <c r="G834">
        <v>716.07</v>
      </c>
      <c r="H834">
        <v>0.05</v>
      </c>
      <c r="I834" t="str">
        <f>VLOOKUP(C834,[1]Sheet!$A:$D,3,FALSE)</f>
        <v>North</v>
      </c>
      <c r="J834" t="str">
        <f>VLOOKUP(C834,[1]Sheet!$A:$D,4,FALSE)</f>
        <v>Home Office</v>
      </c>
      <c r="K834">
        <f t="shared" si="12"/>
        <v>0.34064668972308509</v>
      </c>
    </row>
    <row r="835" spans="1:11" x14ac:dyDescent="0.25">
      <c r="A835" t="s">
        <v>1274</v>
      </c>
      <c r="B835" t="s">
        <v>976</v>
      </c>
      <c r="C835" t="s">
        <v>181</v>
      </c>
      <c r="D835" t="s">
        <v>22</v>
      </c>
      <c r="E835">
        <v>1102.3499999999999</v>
      </c>
      <c r="F835">
        <v>8</v>
      </c>
      <c r="G835">
        <v>113.68</v>
      </c>
      <c r="H835">
        <v>0.1</v>
      </c>
      <c r="I835" t="str">
        <f>VLOOKUP(C835,[1]Sheet!$A:$D,3,FALSE)</f>
        <v>North</v>
      </c>
      <c r="J835" t="str">
        <f>VLOOKUP(C835,[1]Sheet!$A:$D,4,FALSE)</f>
        <v>Home Office</v>
      </c>
      <c r="K835">
        <f t="shared" ref="K835:K898" si="13">G835/E835</f>
        <v>0.10312514174264073</v>
      </c>
    </row>
    <row r="836" spans="1:11" x14ac:dyDescent="0.25">
      <c r="A836" t="s">
        <v>1275</v>
      </c>
      <c r="B836" t="s">
        <v>87</v>
      </c>
      <c r="C836" t="s">
        <v>102</v>
      </c>
      <c r="D836" t="s">
        <v>22</v>
      </c>
      <c r="E836">
        <v>4449.18</v>
      </c>
      <c r="F836">
        <v>7</v>
      </c>
      <c r="G836">
        <v>793.14</v>
      </c>
      <c r="H836">
        <v>0.1</v>
      </c>
      <c r="I836" t="str">
        <f>VLOOKUP(C836,[1]Sheet!$A:$D,3,FALSE)</f>
        <v>South</v>
      </c>
      <c r="J836" t="str">
        <f>VLOOKUP(C836,[1]Sheet!$A:$D,4,FALSE)</f>
        <v>Home Office</v>
      </c>
      <c r="K836">
        <f t="shared" si="13"/>
        <v>0.17826655698353402</v>
      </c>
    </row>
    <row r="837" spans="1:11" x14ac:dyDescent="0.25">
      <c r="A837" t="s">
        <v>1276</v>
      </c>
      <c r="B837" t="s">
        <v>145</v>
      </c>
      <c r="C837" t="s">
        <v>432</v>
      </c>
      <c r="D837" t="s">
        <v>22</v>
      </c>
      <c r="E837">
        <v>3096.37</v>
      </c>
      <c r="F837">
        <v>9</v>
      </c>
      <c r="G837">
        <v>844.51</v>
      </c>
      <c r="H837">
        <v>0</v>
      </c>
      <c r="I837" t="str">
        <f>VLOOKUP(C837,[1]Sheet!$A:$D,3,FALSE)</f>
        <v>East</v>
      </c>
      <c r="J837" t="str">
        <f>VLOOKUP(C837,[1]Sheet!$A:$D,4,FALSE)</f>
        <v>Consumer</v>
      </c>
      <c r="K837">
        <f t="shared" si="13"/>
        <v>0.27274195267361462</v>
      </c>
    </row>
    <row r="838" spans="1:11" x14ac:dyDescent="0.25">
      <c r="A838" t="s">
        <v>1277</v>
      </c>
      <c r="B838" t="s">
        <v>87</v>
      </c>
      <c r="C838" t="s">
        <v>212</v>
      </c>
      <c r="D838" t="s">
        <v>15</v>
      </c>
      <c r="E838">
        <v>635.65</v>
      </c>
      <c r="F838">
        <v>9</v>
      </c>
      <c r="G838">
        <v>118.91</v>
      </c>
      <c r="H838">
        <v>0.2</v>
      </c>
      <c r="I838" t="str">
        <f>VLOOKUP(C838,[1]Sheet!$A:$D,3,FALSE)</f>
        <v>North</v>
      </c>
      <c r="J838" t="str">
        <f>VLOOKUP(C838,[1]Sheet!$A:$D,4,FALSE)</f>
        <v>Home Office</v>
      </c>
      <c r="K838">
        <f t="shared" si="13"/>
        <v>0.18706835522693308</v>
      </c>
    </row>
    <row r="839" spans="1:11" x14ac:dyDescent="0.25">
      <c r="A839" t="s">
        <v>1278</v>
      </c>
      <c r="B839" t="s">
        <v>751</v>
      </c>
      <c r="C839" t="s">
        <v>432</v>
      </c>
      <c r="D839" t="s">
        <v>22</v>
      </c>
      <c r="E839">
        <v>4920.7700000000004</v>
      </c>
      <c r="F839">
        <v>1</v>
      </c>
      <c r="G839">
        <v>303.98</v>
      </c>
      <c r="H839">
        <v>0.05</v>
      </c>
      <c r="I839" t="str">
        <f>VLOOKUP(C839,[1]Sheet!$A:$D,3,FALSE)</f>
        <v>East</v>
      </c>
      <c r="J839" t="str">
        <f>VLOOKUP(C839,[1]Sheet!$A:$D,4,FALSE)</f>
        <v>Consumer</v>
      </c>
      <c r="K839">
        <f t="shared" si="13"/>
        <v>6.1774884824935934E-2</v>
      </c>
    </row>
    <row r="840" spans="1:11" x14ac:dyDescent="0.25">
      <c r="A840" t="s">
        <v>1279</v>
      </c>
      <c r="B840" t="s">
        <v>39</v>
      </c>
      <c r="C840" t="s">
        <v>495</v>
      </c>
      <c r="D840" t="s">
        <v>11</v>
      </c>
      <c r="E840">
        <v>2253.81</v>
      </c>
      <c r="F840">
        <v>3</v>
      </c>
      <c r="G840">
        <v>710.67</v>
      </c>
      <c r="H840">
        <v>0.15</v>
      </c>
      <c r="I840" t="str">
        <f>VLOOKUP(C840,[1]Sheet!$A:$D,3,FALSE)</f>
        <v>South</v>
      </c>
      <c r="J840" t="str">
        <f>VLOOKUP(C840,[1]Sheet!$A:$D,4,FALSE)</f>
        <v>Home Office</v>
      </c>
      <c r="K840">
        <f t="shared" si="13"/>
        <v>0.3153193924953745</v>
      </c>
    </row>
    <row r="841" spans="1:11" x14ac:dyDescent="0.25">
      <c r="A841" t="s">
        <v>1280</v>
      </c>
      <c r="B841" t="s">
        <v>476</v>
      </c>
      <c r="C841" t="s">
        <v>495</v>
      </c>
      <c r="D841" t="s">
        <v>15</v>
      </c>
      <c r="E841">
        <v>3104.36</v>
      </c>
      <c r="F841">
        <v>8</v>
      </c>
      <c r="G841">
        <v>206.02</v>
      </c>
      <c r="H841">
        <v>0.15</v>
      </c>
      <c r="I841" t="str">
        <f>VLOOKUP(C841,[1]Sheet!$A:$D,3,FALSE)</f>
        <v>South</v>
      </c>
      <c r="J841" t="str">
        <f>VLOOKUP(C841,[1]Sheet!$A:$D,4,FALSE)</f>
        <v>Home Office</v>
      </c>
      <c r="K841">
        <f t="shared" si="13"/>
        <v>6.6364725740571326E-2</v>
      </c>
    </row>
    <row r="842" spans="1:11" x14ac:dyDescent="0.25">
      <c r="A842" t="s">
        <v>1281</v>
      </c>
      <c r="B842" t="s">
        <v>159</v>
      </c>
      <c r="C842" t="s">
        <v>34</v>
      </c>
      <c r="D842" t="s">
        <v>22</v>
      </c>
      <c r="E842">
        <v>3640.97</v>
      </c>
      <c r="F842">
        <v>9</v>
      </c>
      <c r="G842">
        <v>305.66000000000003</v>
      </c>
      <c r="H842">
        <v>0.05</v>
      </c>
      <c r="I842" t="str">
        <f>VLOOKUP(C842,[1]Sheet!$A:$D,3,FALSE)</f>
        <v>West</v>
      </c>
      <c r="J842" t="str">
        <f>VLOOKUP(C842,[1]Sheet!$A:$D,4,FALSE)</f>
        <v>Home Office</v>
      </c>
      <c r="K842">
        <f t="shared" si="13"/>
        <v>8.3950156139710033E-2</v>
      </c>
    </row>
    <row r="843" spans="1:11" x14ac:dyDescent="0.25">
      <c r="A843" t="s">
        <v>1282</v>
      </c>
      <c r="B843" t="s">
        <v>1215</v>
      </c>
      <c r="C843" t="s">
        <v>432</v>
      </c>
      <c r="D843" t="s">
        <v>11</v>
      </c>
      <c r="E843">
        <v>2126.44</v>
      </c>
      <c r="F843">
        <v>10</v>
      </c>
      <c r="G843">
        <v>393.96</v>
      </c>
      <c r="H843">
        <v>0.05</v>
      </c>
      <c r="I843" t="str">
        <f>VLOOKUP(C843,[1]Sheet!$A:$D,3,FALSE)</f>
        <v>East</v>
      </c>
      <c r="J843" t="str">
        <f>VLOOKUP(C843,[1]Sheet!$A:$D,4,FALSE)</f>
        <v>Consumer</v>
      </c>
      <c r="K843">
        <f t="shared" si="13"/>
        <v>0.1852673952709693</v>
      </c>
    </row>
    <row r="844" spans="1:11" x14ac:dyDescent="0.25">
      <c r="A844" t="s">
        <v>1283</v>
      </c>
      <c r="B844" t="s">
        <v>307</v>
      </c>
      <c r="C844" t="s">
        <v>102</v>
      </c>
      <c r="D844" t="s">
        <v>22</v>
      </c>
      <c r="E844">
        <v>541.88</v>
      </c>
      <c r="F844">
        <v>3</v>
      </c>
      <c r="G844">
        <v>79.78</v>
      </c>
      <c r="H844">
        <v>0</v>
      </c>
      <c r="I844" t="str">
        <f>VLOOKUP(C844,[1]Sheet!$A:$D,3,FALSE)</f>
        <v>South</v>
      </c>
      <c r="J844" t="str">
        <f>VLOOKUP(C844,[1]Sheet!$A:$D,4,FALSE)</f>
        <v>Home Office</v>
      </c>
      <c r="K844">
        <f t="shared" si="13"/>
        <v>0.14722816859821364</v>
      </c>
    </row>
    <row r="845" spans="1:11" x14ac:dyDescent="0.25">
      <c r="A845" t="s">
        <v>1284</v>
      </c>
      <c r="B845" t="s">
        <v>279</v>
      </c>
      <c r="C845" t="s">
        <v>34</v>
      </c>
      <c r="D845" t="s">
        <v>15</v>
      </c>
      <c r="E845">
        <v>659.41</v>
      </c>
      <c r="F845">
        <v>9</v>
      </c>
      <c r="G845">
        <v>121.87</v>
      </c>
      <c r="H845">
        <v>0.15</v>
      </c>
      <c r="I845" t="str">
        <f>VLOOKUP(C845,[1]Sheet!$A:$D,3,FALSE)</f>
        <v>West</v>
      </c>
      <c r="J845" t="str">
        <f>VLOOKUP(C845,[1]Sheet!$A:$D,4,FALSE)</f>
        <v>Home Office</v>
      </c>
      <c r="K845">
        <f t="shared" si="13"/>
        <v>0.18481673010721708</v>
      </c>
    </row>
    <row r="846" spans="1:11" x14ac:dyDescent="0.25">
      <c r="A846" t="s">
        <v>1285</v>
      </c>
      <c r="B846" t="s">
        <v>563</v>
      </c>
      <c r="C846" t="s">
        <v>110</v>
      </c>
      <c r="D846" t="s">
        <v>11</v>
      </c>
      <c r="E846">
        <v>3976.23</v>
      </c>
      <c r="F846">
        <v>9</v>
      </c>
      <c r="G846">
        <v>809.16</v>
      </c>
      <c r="H846">
        <v>0.15</v>
      </c>
      <c r="I846" t="str">
        <f>VLOOKUP(C846,[1]Sheet!$A:$D,3,FALSE)</f>
        <v>West</v>
      </c>
      <c r="J846" t="str">
        <f>VLOOKUP(C846,[1]Sheet!$A:$D,4,FALSE)</f>
        <v>Consumer</v>
      </c>
      <c r="K846">
        <f t="shared" si="13"/>
        <v>0.20349929455791038</v>
      </c>
    </row>
    <row r="847" spans="1:11" x14ac:dyDescent="0.25">
      <c r="A847" t="s">
        <v>1286</v>
      </c>
      <c r="B847" t="s">
        <v>1076</v>
      </c>
      <c r="C847" t="s">
        <v>54</v>
      </c>
      <c r="D847" t="s">
        <v>22</v>
      </c>
      <c r="E847">
        <v>3864.48</v>
      </c>
      <c r="F847">
        <v>3</v>
      </c>
      <c r="G847">
        <v>1250.8399999999999</v>
      </c>
      <c r="H847">
        <v>0.05</v>
      </c>
      <c r="I847" t="str">
        <f>VLOOKUP(C847,[1]Sheet!$A:$D,3,FALSE)</f>
        <v>West</v>
      </c>
      <c r="J847" t="str">
        <f>VLOOKUP(C847,[1]Sheet!$A:$D,4,FALSE)</f>
        <v>Consumer</v>
      </c>
      <c r="K847">
        <f t="shared" si="13"/>
        <v>0.32367614789053117</v>
      </c>
    </row>
    <row r="848" spans="1:11" x14ac:dyDescent="0.25">
      <c r="A848" t="s">
        <v>1287</v>
      </c>
      <c r="B848" t="s">
        <v>885</v>
      </c>
      <c r="C848" t="s">
        <v>318</v>
      </c>
      <c r="D848" t="s">
        <v>11</v>
      </c>
      <c r="E848">
        <v>976.45</v>
      </c>
      <c r="F848">
        <v>5</v>
      </c>
      <c r="G848">
        <v>257.41000000000003</v>
      </c>
      <c r="H848">
        <v>0.15</v>
      </c>
      <c r="I848" t="str">
        <f>VLOOKUP(C848,[1]Sheet!$A:$D,3,FALSE)</f>
        <v>West</v>
      </c>
      <c r="J848" t="str">
        <f>VLOOKUP(C848,[1]Sheet!$A:$D,4,FALSE)</f>
        <v>Consumer</v>
      </c>
      <c r="K848">
        <f t="shared" si="13"/>
        <v>0.2636182088176558</v>
      </c>
    </row>
    <row r="849" spans="1:11" x14ac:dyDescent="0.25">
      <c r="A849" t="s">
        <v>1288</v>
      </c>
      <c r="B849" t="s">
        <v>281</v>
      </c>
      <c r="C849" t="s">
        <v>324</v>
      </c>
      <c r="D849" t="s">
        <v>15</v>
      </c>
      <c r="E849">
        <v>3169.62</v>
      </c>
      <c r="F849">
        <v>1</v>
      </c>
      <c r="G849">
        <v>270.26</v>
      </c>
      <c r="H849">
        <v>0.2</v>
      </c>
      <c r="I849" t="str">
        <f>VLOOKUP(C849,[1]Sheet!$A:$D,3,FALSE)</f>
        <v>North</v>
      </c>
      <c r="J849" t="str">
        <f>VLOOKUP(C849,[1]Sheet!$A:$D,4,FALSE)</f>
        <v>Home Office</v>
      </c>
      <c r="K849">
        <f t="shared" si="13"/>
        <v>8.5265741634643899E-2</v>
      </c>
    </row>
    <row r="850" spans="1:11" x14ac:dyDescent="0.25">
      <c r="A850" t="s">
        <v>1289</v>
      </c>
      <c r="B850" t="s">
        <v>1290</v>
      </c>
      <c r="C850" t="s">
        <v>227</v>
      </c>
      <c r="D850" t="s">
        <v>22</v>
      </c>
      <c r="E850">
        <v>1340.24</v>
      </c>
      <c r="F850">
        <v>1</v>
      </c>
      <c r="G850">
        <v>251.42</v>
      </c>
      <c r="H850">
        <v>0.2</v>
      </c>
      <c r="I850" t="str">
        <f>VLOOKUP(C850,[1]Sheet!$A:$D,3,FALSE)</f>
        <v>South</v>
      </c>
      <c r="J850" t="str">
        <f>VLOOKUP(C850,[1]Sheet!$A:$D,4,FALSE)</f>
        <v>Home Office</v>
      </c>
      <c r="K850">
        <f t="shared" si="13"/>
        <v>0.18759326687757416</v>
      </c>
    </row>
    <row r="851" spans="1:11" x14ac:dyDescent="0.25">
      <c r="A851" t="s">
        <v>1291</v>
      </c>
      <c r="B851" t="s">
        <v>134</v>
      </c>
      <c r="C851" t="s">
        <v>492</v>
      </c>
      <c r="D851" t="s">
        <v>11</v>
      </c>
      <c r="E851">
        <v>1265.5999999999999</v>
      </c>
      <c r="F851">
        <v>7</v>
      </c>
      <c r="G851">
        <v>286.86</v>
      </c>
      <c r="H851">
        <v>0.15</v>
      </c>
      <c r="I851" t="str">
        <f>VLOOKUP(C851,[1]Sheet!$A:$D,3,FALSE)</f>
        <v>West</v>
      </c>
      <c r="J851" t="str">
        <f>VLOOKUP(C851,[1]Sheet!$A:$D,4,FALSE)</f>
        <v>Home Office</v>
      </c>
      <c r="K851">
        <f t="shared" si="13"/>
        <v>0.22665929203539825</v>
      </c>
    </row>
    <row r="852" spans="1:11" x14ac:dyDescent="0.25">
      <c r="A852" t="s">
        <v>1292</v>
      </c>
      <c r="B852" t="s">
        <v>148</v>
      </c>
      <c r="C852" t="s">
        <v>320</v>
      </c>
      <c r="D852" t="s">
        <v>11</v>
      </c>
      <c r="E852">
        <v>3045.96</v>
      </c>
      <c r="F852">
        <v>10</v>
      </c>
      <c r="G852">
        <v>158.30000000000001</v>
      </c>
      <c r="H852">
        <v>0.2</v>
      </c>
      <c r="I852" t="str">
        <f>VLOOKUP(C852,[1]Sheet!$A:$D,3,FALSE)</f>
        <v>West</v>
      </c>
      <c r="J852" t="str">
        <f>VLOOKUP(C852,[1]Sheet!$A:$D,4,FALSE)</f>
        <v>Consumer</v>
      </c>
      <c r="K852">
        <f t="shared" si="13"/>
        <v>5.1970478929467233E-2</v>
      </c>
    </row>
    <row r="853" spans="1:11" x14ac:dyDescent="0.25">
      <c r="A853" t="s">
        <v>1293</v>
      </c>
      <c r="B853" t="s">
        <v>67</v>
      </c>
      <c r="C853" t="s">
        <v>418</v>
      </c>
      <c r="D853" t="s">
        <v>11</v>
      </c>
      <c r="E853">
        <v>339.7</v>
      </c>
      <c r="F853">
        <v>1</v>
      </c>
      <c r="G853">
        <v>32.090000000000003</v>
      </c>
      <c r="H853">
        <v>0.05</v>
      </c>
      <c r="I853" t="str">
        <f>VLOOKUP(C853,[1]Sheet!$A:$D,3,FALSE)</f>
        <v>South</v>
      </c>
      <c r="J853" t="str">
        <f>VLOOKUP(C853,[1]Sheet!$A:$D,4,FALSE)</f>
        <v>Home Office</v>
      </c>
      <c r="K853">
        <f t="shared" si="13"/>
        <v>9.4465705033853417E-2</v>
      </c>
    </row>
    <row r="854" spans="1:11" x14ac:dyDescent="0.25">
      <c r="A854" t="s">
        <v>1294</v>
      </c>
      <c r="B854" t="s">
        <v>161</v>
      </c>
      <c r="C854" t="s">
        <v>484</v>
      </c>
      <c r="D854" t="s">
        <v>11</v>
      </c>
      <c r="E854">
        <v>3368.28</v>
      </c>
      <c r="F854">
        <v>2</v>
      </c>
      <c r="G854">
        <v>1015.21</v>
      </c>
      <c r="H854">
        <v>0</v>
      </c>
      <c r="I854" t="str">
        <f>VLOOKUP(C854,[1]Sheet!$A:$D,3,FALSE)</f>
        <v>North</v>
      </c>
      <c r="J854" t="str">
        <f>VLOOKUP(C854,[1]Sheet!$A:$D,4,FALSE)</f>
        <v>Home Office</v>
      </c>
      <c r="K854">
        <f t="shared" si="13"/>
        <v>0.30140309000439391</v>
      </c>
    </row>
    <row r="855" spans="1:11" x14ac:dyDescent="0.25">
      <c r="A855" t="s">
        <v>1295</v>
      </c>
      <c r="B855" t="s">
        <v>641</v>
      </c>
      <c r="C855" t="s">
        <v>198</v>
      </c>
      <c r="D855" t="s">
        <v>11</v>
      </c>
      <c r="E855">
        <v>2143.09</v>
      </c>
      <c r="F855">
        <v>10</v>
      </c>
      <c r="G855">
        <v>221.76</v>
      </c>
      <c r="H855">
        <v>0.2</v>
      </c>
      <c r="I855" t="str">
        <f>VLOOKUP(C855,[1]Sheet!$A:$D,3,FALSE)</f>
        <v>South</v>
      </c>
      <c r="J855" t="str">
        <f>VLOOKUP(C855,[1]Sheet!$A:$D,4,FALSE)</f>
        <v>Home Office</v>
      </c>
      <c r="K855">
        <f t="shared" si="13"/>
        <v>0.10347675552589951</v>
      </c>
    </row>
    <row r="856" spans="1:11" x14ac:dyDescent="0.25">
      <c r="A856" t="s">
        <v>1296</v>
      </c>
      <c r="B856" t="s">
        <v>326</v>
      </c>
      <c r="C856" t="s">
        <v>235</v>
      </c>
      <c r="D856" t="s">
        <v>22</v>
      </c>
      <c r="E856">
        <v>3957.81</v>
      </c>
      <c r="F856">
        <v>10</v>
      </c>
      <c r="G856">
        <v>408.55</v>
      </c>
      <c r="H856">
        <v>0.1</v>
      </c>
      <c r="I856" t="str">
        <f>VLOOKUP(C856,[1]Sheet!$A:$D,3,FALSE)</f>
        <v>South</v>
      </c>
      <c r="J856" t="str">
        <f>VLOOKUP(C856,[1]Sheet!$A:$D,4,FALSE)</f>
        <v>Home Office</v>
      </c>
      <c r="K856">
        <f t="shared" si="13"/>
        <v>0.10322627917964733</v>
      </c>
    </row>
    <row r="857" spans="1:11" x14ac:dyDescent="0.25">
      <c r="A857" t="s">
        <v>1297</v>
      </c>
      <c r="B857" t="s">
        <v>773</v>
      </c>
      <c r="C857" t="s">
        <v>484</v>
      </c>
      <c r="D857" t="s">
        <v>11</v>
      </c>
      <c r="E857">
        <v>556.32000000000005</v>
      </c>
      <c r="F857">
        <v>2</v>
      </c>
      <c r="G857">
        <v>77.77</v>
      </c>
      <c r="H857">
        <v>0.15</v>
      </c>
      <c r="I857" t="str">
        <f>VLOOKUP(C857,[1]Sheet!$A:$D,3,FALSE)</f>
        <v>North</v>
      </c>
      <c r="J857" t="str">
        <f>VLOOKUP(C857,[1]Sheet!$A:$D,4,FALSE)</f>
        <v>Home Office</v>
      </c>
      <c r="K857">
        <f t="shared" si="13"/>
        <v>0.13979364394593038</v>
      </c>
    </row>
    <row r="858" spans="1:11" x14ac:dyDescent="0.25">
      <c r="A858" t="s">
        <v>1298</v>
      </c>
      <c r="B858" t="s">
        <v>1299</v>
      </c>
      <c r="C858" t="s">
        <v>221</v>
      </c>
      <c r="D858" t="s">
        <v>22</v>
      </c>
      <c r="E858">
        <v>418.14</v>
      </c>
      <c r="F858">
        <v>5</v>
      </c>
      <c r="G858">
        <v>79.97</v>
      </c>
      <c r="H858">
        <v>0.1</v>
      </c>
      <c r="I858" t="str">
        <f>VLOOKUP(C858,[1]Sheet!$A:$D,3,FALSE)</f>
        <v>South</v>
      </c>
      <c r="J858" t="str">
        <f>VLOOKUP(C858,[1]Sheet!$A:$D,4,FALSE)</f>
        <v>Corporate</v>
      </c>
      <c r="K858">
        <f t="shared" si="13"/>
        <v>0.19125173386903907</v>
      </c>
    </row>
    <row r="859" spans="1:11" x14ac:dyDescent="0.25">
      <c r="A859" t="s">
        <v>1300</v>
      </c>
      <c r="B859" t="s">
        <v>1141</v>
      </c>
      <c r="C859" t="s">
        <v>415</v>
      </c>
      <c r="D859" t="s">
        <v>22</v>
      </c>
      <c r="E859">
        <v>2127.41</v>
      </c>
      <c r="F859">
        <v>1</v>
      </c>
      <c r="G859">
        <v>240.3</v>
      </c>
      <c r="H859">
        <v>0</v>
      </c>
      <c r="I859" t="str">
        <f>VLOOKUP(C859,[1]Sheet!$A:$D,3,FALSE)</f>
        <v>East</v>
      </c>
      <c r="J859" t="str">
        <f>VLOOKUP(C859,[1]Sheet!$A:$D,4,FALSE)</f>
        <v>Home Office</v>
      </c>
      <c r="K859">
        <f t="shared" si="13"/>
        <v>0.11295424953347029</v>
      </c>
    </row>
    <row r="860" spans="1:11" x14ac:dyDescent="0.25">
      <c r="A860" t="s">
        <v>1301</v>
      </c>
      <c r="B860" t="s">
        <v>534</v>
      </c>
      <c r="C860" t="s">
        <v>235</v>
      </c>
      <c r="D860" t="s">
        <v>11</v>
      </c>
      <c r="E860">
        <v>3675.67</v>
      </c>
      <c r="F860">
        <v>10</v>
      </c>
      <c r="G860">
        <v>877.36</v>
      </c>
      <c r="H860">
        <v>0.1</v>
      </c>
      <c r="I860" t="str">
        <f>VLOOKUP(C860,[1]Sheet!$A:$D,3,FALSE)</f>
        <v>South</v>
      </c>
      <c r="J860" t="str">
        <f>VLOOKUP(C860,[1]Sheet!$A:$D,4,FALSE)</f>
        <v>Home Office</v>
      </c>
      <c r="K860">
        <f t="shared" si="13"/>
        <v>0.23869389798322482</v>
      </c>
    </row>
    <row r="861" spans="1:11" x14ac:dyDescent="0.25">
      <c r="A861" t="s">
        <v>1302</v>
      </c>
      <c r="B861" t="s">
        <v>374</v>
      </c>
      <c r="C861" t="s">
        <v>390</v>
      </c>
      <c r="D861" t="s">
        <v>22</v>
      </c>
      <c r="E861">
        <v>3083.34</v>
      </c>
      <c r="F861">
        <v>10</v>
      </c>
      <c r="G861">
        <v>446.92</v>
      </c>
      <c r="H861">
        <v>0.1</v>
      </c>
      <c r="I861" t="str">
        <f>VLOOKUP(C861,[1]Sheet!$A:$D,3,FALSE)</f>
        <v>West</v>
      </c>
      <c r="J861" t="str">
        <f>VLOOKUP(C861,[1]Sheet!$A:$D,4,FALSE)</f>
        <v>Corporate</v>
      </c>
      <c r="K861">
        <f t="shared" si="13"/>
        <v>0.1449467136287273</v>
      </c>
    </row>
    <row r="862" spans="1:11" x14ac:dyDescent="0.25">
      <c r="A862" t="s">
        <v>1303</v>
      </c>
      <c r="B862" t="s">
        <v>440</v>
      </c>
      <c r="C862" t="s">
        <v>184</v>
      </c>
      <c r="D862" t="s">
        <v>11</v>
      </c>
      <c r="E862">
        <v>3110.02</v>
      </c>
      <c r="F862">
        <v>8</v>
      </c>
      <c r="G862">
        <v>618.64</v>
      </c>
      <c r="H862">
        <v>0.05</v>
      </c>
      <c r="I862" t="str">
        <f>VLOOKUP(C862,[1]Sheet!$A:$D,3,FALSE)</f>
        <v>South</v>
      </c>
      <c r="J862" t="str">
        <f>VLOOKUP(C862,[1]Sheet!$A:$D,4,FALSE)</f>
        <v>Corporate</v>
      </c>
      <c r="K862">
        <f t="shared" si="13"/>
        <v>0.19891833493032199</v>
      </c>
    </row>
    <row r="863" spans="1:11" x14ac:dyDescent="0.25">
      <c r="A863" t="s">
        <v>1304</v>
      </c>
      <c r="B863" t="s">
        <v>229</v>
      </c>
      <c r="C863" t="s">
        <v>124</v>
      </c>
      <c r="D863" t="s">
        <v>15</v>
      </c>
      <c r="E863">
        <v>1240.3399999999999</v>
      </c>
      <c r="F863">
        <v>2</v>
      </c>
      <c r="G863">
        <v>170.11</v>
      </c>
      <c r="H863">
        <v>0</v>
      </c>
      <c r="I863" t="str">
        <f>VLOOKUP(C863,[1]Sheet!$A:$D,3,FALSE)</f>
        <v>North</v>
      </c>
      <c r="J863" t="str">
        <f>VLOOKUP(C863,[1]Sheet!$A:$D,4,FALSE)</f>
        <v>Home Office</v>
      </c>
      <c r="K863">
        <f t="shared" si="13"/>
        <v>0.1371478788074238</v>
      </c>
    </row>
    <row r="864" spans="1:11" x14ac:dyDescent="0.25">
      <c r="A864" t="s">
        <v>1305</v>
      </c>
      <c r="B864" t="s">
        <v>694</v>
      </c>
      <c r="C864" t="s">
        <v>146</v>
      </c>
      <c r="D864" t="s">
        <v>22</v>
      </c>
      <c r="E864">
        <v>3164.76</v>
      </c>
      <c r="F864">
        <v>7</v>
      </c>
      <c r="G864">
        <v>270.2</v>
      </c>
      <c r="H864">
        <v>0.15</v>
      </c>
      <c r="I864" t="str">
        <f>VLOOKUP(C864,[1]Sheet!$A:$D,3,FALSE)</f>
        <v>South</v>
      </c>
      <c r="J864" t="str">
        <f>VLOOKUP(C864,[1]Sheet!$A:$D,4,FALSE)</f>
        <v>Home Office</v>
      </c>
      <c r="K864">
        <f t="shared" si="13"/>
        <v>8.5377722165345865E-2</v>
      </c>
    </row>
    <row r="865" spans="1:11" x14ac:dyDescent="0.25">
      <c r="A865" t="s">
        <v>1306</v>
      </c>
      <c r="B865" t="s">
        <v>150</v>
      </c>
      <c r="C865" t="s">
        <v>54</v>
      </c>
      <c r="D865" t="s">
        <v>15</v>
      </c>
      <c r="E865">
        <v>1735.58</v>
      </c>
      <c r="F865">
        <v>1</v>
      </c>
      <c r="G865">
        <v>378.57</v>
      </c>
      <c r="H865">
        <v>0.05</v>
      </c>
      <c r="I865" t="str">
        <f>VLOOKUP(C865,[1]Sheet!$A:$D,3,FALSE)</f>
        <v>West</v>
      </c>
      <c r="J865" t="str">
        <f>VLOOKUP(C865,[1]Sheet!$A:$D,4,FALSE)</f>
        <v>Consumer</v>
      </c>
      <c r="K865">
        <f t="shared" si="13"/>
        <v>0.21812304820290623</v>
      </c>
    </row>
    <row r="866" spans="1:11" x14ac:dyDescent="0.25">
      <c r="A866" t="s">
        <v>1307</v>
      </c>
      <c r="B866" t="s">
        <v>707</v>
      </c>
      <c r="C866" t="s">
        <v>215</v>
      </c>
      <c r="D866" t="s">
        <v>11</v>
      </c>
      <c r="E866">
        <v>1479.97</v>
      </c>
      <c r="F866">
        <v>9</v>
      </c>
      <c r="G866">
        <v>424.84</v>
      </c>
      <c r="H866">
        <v>0.2</v>
      </c>
      <c r="I866" t="str">
        <f>VLOOKUP(C866,[1]Sheet!$A:$D,3,FALSE)</f>
        <v>South</v>
      </c>
      <c r="J866" t="str">
        <f>VLOOKUP(C866,[1]Sheet!$A:$D,4,FALSE)</f>
        <v>Corporate</v>
      </c>
      <c r="K866">
        <f t="shared" si="13"/>
        <v>0.28705987283526013</v>
      </c>
    </row>
    <row r="867" spans="1:11" x14ac:dyDescent="0.25">
      <c r="A867" t="s">
        <v>1308</v>
      </c>
      <c r="B867" t="s">
        <v>293</v>
      </c>
      <c r="C867" t="s">
        <v>428</v>
      </c>
      <c r="D867" t="s">
        <v>11</v>
      </c>
      <c r="E867">
        <v>3858.46</v>
      </c>
      <c r="F867">
        <v>7</v>
      </c>
      <c r="G867">
        <v>324.69</v>
      </c>
      <c r="H867">
        <v>0.2</v>
      </c>
      <c r="I867" t="str">
        <f>VLOOKUP(C867,[1]Sheet!$A:$D,3,FALSE)</f>
        <v>South</v>
      </c>
      <c r="J867" t="str">
        <f>VLOOKUP(C867,[1]Sheet!$A:$D,4,FALSE)</f>
        <v>Home Office</v>
      </c>
      <c r="K867">
        <f t="shared" si="13"/>
        <v>8.415015316991753E-2</v>
      </c>
    </row>
    <row r="868" spans="1:11" x14ac:dyDescent="0.25">
      <c r="A868" t="s">
        <v>1309</v>
      </c>
      <c r="B868" t="s">
        <v>229</v>
      </c>
      <c r="C868" t="s">
        <v>124</v>
      </c>
      <c r="D868" t="s">
        <v>11</v>
      </c>
      <c r="E868">
        <v>4804.55</v>
      </c>
      <c r="F868">
        <v>6</v>
      </c>
      <c r="G868">
        <v>1439.5</v>
      </c>
      <c r="H868">
        <v>0.15</v>
      </c>
      <c r="I868" t="str">
        <f>VLOOKUP(C868,[1]Sheet!$A:$D,3,FALSE)</f>
        <v>North</v>
      </c>
      <c r="J868" t="str">
        <f>VLOOKUP(C868,[1]Sheet!$A:$D,4,FALSE)</f>
        <v>Home Office</v>
      </c>
      <c r="K868">
        <f t="shared" si="13"/>
        <v>0.29961182628966293</v>
      </c>
    </row>
    <row r="869" spans="1:11" x14ac:dyDescent="0.25">
      <c r="A869" t="s">
        <v>1310</v>
      </c>
      <c r="B869" t="s">
        <v>343</v>
      </c>
      <c r="C869" t="s">
        <v>18</v>
      </c>
      <c r="D869" t="s">
        <v>15</v>
      </c>
      <c r="E869">
        <v>4006.55</v>
      </c>
      <c r="F869">
        <v>8</v>
      </c>
      <c r="G869">
        <v>976.38</v>
      </c>
      <c r="H869">
        <v>0.2</v>
      </c>
      <c r="I869" t="str">
        <f>VLOOKUP(C869,[1]Sheet!$A:$D,3,FALSE)</f>
        <v>West</v>
      </c>
      <c r="J869" t="str">
        <f>VLOOKUP(C869,[1]Sheet!$A:$D,4,FALSE)</f>
        <v>Home Office</v>
      </c>
      <c r="K869">
        <f t="shared" si="13"/>
        <v>0.24369594788533774</v>
      </c>
    </row>
    <row r="870" spans="1:11" x14ac:dyDescent="0.25">
      <c r="A870" t="s">
        <v>1311</v>
      </c>
      <c r="B870" t="s">
        <v>545</v>
      </c>
      <c r="C870" t="s">
        <v>456</v>
      </c>
      <c r="D870" t="s">
        <v>22</v>
      </c>
      <c r="E870">
        <v>2366.1</v>
      </c>
      <c r="F870">
        <v>5</v>
      </c>
      <c r="G870">
        <v>696.22</v>
      </c>
      <c r="H870">
        <v>0.2</v>
      </c>
      <c r="I870" t="str">
        <f>VLOOKUP(C870,[1]Sheet!$A:$D,3,FALSE)</f>
        <v>East</v>
      </c>
      <c r="J870" t="str">
        <f>VLOOKUP(C870,[1]Sheet!$A:$D,4,FALSE)</f>
        <v>Consumer</v>
      </c>
      <c r="K870">
        <f t="shared" si="13"/>
        <v>0.29424791851570098</v>
      </c>
    </row>
    <row r="871" spans="1:11" x14ac:dyDescent="0.25">
      <c r="A871" t="s">
        <v>1312</v>
      </c>
      <c r="B871" t="s">
        <v>1258</v>
      </c>
      <c r="C871" t="s">
        <v>119</v>
      </c>
      <c r="D871" t="s">
        <v>15</v>
      </c>
      <c r="E871">
        <v>3423.17</v>
      </c>
      <c r="F871">
        <v>10</v>
      </c>
      <c r="G871">
        <v>741.3</v>
      </c>
      <c r="H871">
        <v>0.1</v>
      </c>
      <c r="I871" t="str">
        <f>VLOOKUP(C871,[1]Sheet!$A:$D,3,FALSE)</f>
        <v>East</v>
      </c>
      <c r="J871" t="str">
        <f>VLOOKUP(C871,[1]Sheet!$A:$D,4,FALSE)</f>
        <v>Corporate</v>
      </c>
      <c r="K871">
        <f t="shared" si="13"/>
        <v>0.21655366224873435</v>
      </c>
    </row>
    <row r="872" spans="1:11" x14ac:dyDescent="0.25">
      <c r="A872" t="s">
        <v>1313</v>
      </c>
      <c r="B872" t="s">
        <v>522</v>
      </c>
      <c r="C872" t="s">
        <v>91</v>
      </c>
      <c r="D872" t="s">
        <v>11</v>
      </c>
      <c r="E872">
        <v>424.44</v>
      </c>
      <c r="F872">
        <v>7</v>
      </c>
      <c r="G872">
        <v>40.229999999999997</v>
      </c>
      <c r="H872">
        <v>0.2</v>
      </c>
      <c r="I872" t="str">
        <f>VLOOKUP(C872,[1]Sheet!$A:$D,3,FALSE)</f>
        <v>East</v>
      </c>
      <c r="J872" t="str">
        <f>VLOOKUP(C872,[1]Sheet!$A:$D,4,FALSE)</f>
        <v>Consumer</v>
      </c>
      <c r="K872">
        <f t="shared" si="13"/>
        <v>9.4783715012722633E-2</v>
      </c>
    </row>
    <row r="873" spans="1:11" x14ac:dyDescent="0.25">
      <c r="A873" t="s">
        <v>1314</v>
      </c>
      <c r="B873" t="s">
        <v>145</v>
      </c>
      <c r="C873" t="s">
        <v>187</v>
      </c>
      <c r="D873" t="s">
        <v>15</v>
      </c>
      <c r="E873">
        <v>2897.81</v>
      </c>
      <c r="F873">
        <v>5</v>
      </c>
      <c r="G873">
        <v>483.56</v>
      </c>
      <c r="H873">
        <v>0.1</v>
      </c>
      <c r="I873" t="str">
        <f>VLOOKUP(C873,[1]Sheet!$A:$D,3,FALSE)</f>
        <v>West</v>
      </c>
      <c r="J873" t="str">
        <f>VLOOKUP(C873,[1]Sheet!$A:$D,4,FALSE)</f>
        <v>Home Office</v>
      </c>
      <c r="K873">
        <f t="shared" si="13"/>
        <v>0.16687084384414438</v>
      </c>
    </row>
    <row r="874" spans="1:11" x14ac:dyDescent="0.25">
      <c r="A874" t="s">
        <v>1315</v>
      </c>
      <c r="B874" t="s">
        <v>938</v>
      </c>
      <c r="C874" t="s">
        <v>157</v>
      </c>
      <c r="D874" t="s">
        <v>15</v>
      </c>
      <c r="E874">
        <v>254.98</v>
      </c>
      <c r="F874">
        <v>6</v>
      </c>
      <c r="G874">
        <v>44.41</v>
      </c>
      <c r="H874">
        <v>0.15</v>
      </c>
      <c r="I874" t="str">
        <f>VLOOKUP(C874,[1]Sheet!$A:$D,3,FALSE)</f>
        <v>South</v>
      </c>
      <c r="J874" t="str">
        <f>VLOOKUP(C874,[1]Sheet!$A:$D,4,FALSE)</f>
        <v>Home Office</v>
      </c>
      <c r="K874">
        <f t="shared" si="13"/>
        <v>0.17417052317828849</v>
      </c>
    </row>
    <row r="875" spans="1:11" x14ac:dyDescent="0.25">
      <c r="A875" t="s">
        <v>1316</v>
      </c>
      <c r="B875" t="s">
        <v>627</v>
      </c>
      <c r="C875" t="s">
        <v>71</v>
      </c>
      <c r="D875" t="s">
        <v>11</v>
      </c>
      <c r="E875">
        <v>1159.0899999999999</v>
      </c>
      <c r="F875">
        <v>1</v>
      </c>
      <c r="G875">
        <v>163.08000000000001</v>
      </c>
      <c r="H875">
        <v>0.05</v>
      </c>
      <c r="I875" t="str">
        <f>VLOOKUP(C875,[1]Sheet!$A:$D,3,FALSE)</f>
        <v>South</v>
      </c>
      <c r="J875" t="str">
        <f>VLOOKUP(C875,[1]Sheet!$A:$D,4,FALSE)</f>
        <v>Consumer</v>
      </c>
      <c r="K875">
        <f t="shared" si="13"/>
        <v>0.14069658093849488</v>
      </c>
    </row>
    <row r="876" spans="1:11" x14ac:dyDescent="0.25">
      <c r="A876" t="s">
        <v>1317</v>
      </c>
      <c r="B876" t="s">
        <v>226</v>
      </c>
      <c r="C876" t="s">
        <v>34</v>
      </c>
      <c r="D876" t="s">
        <v>22</v>
      </c>
      <c r="E876">
        <v>2274.4899999999998</v>
      </c>
      <c r="F876">
        <v>3</v>
      </c>
      <c r="G876">
        <v>130.74</v>
      </c>
      <c r="H876">
        <v>0.05</v>
      </c>
      <c r="I876" t="str">
        <f>VLOOKUP(C876,[1]Sheet!$A:$D,3,FALSE)</f>
        <v>West</v>
      </c>
      <c r="J876" t="str">
        <f>VLOOKUP(C876,[1]Sheet!$A:$D,4,FALSE)</f>
        <v>Home Office</v>
      </c>
      <c r="K876">
        <f t="shared" si="13"/>
        <v>5.7481017722654321E-2</v>
      </c>
    </row>
    <row r="877" spans="1:11" x14ac:dyDescent="0.25">
      <c r="A877" t="s">
        <v>1318</v>
      </c>
      <c r="B877" t="s">
        <v>1319</v>
      </c>
      <c r="C877" t="s">
        <v>208</v>
      </c>
      <c r="D877" t="s">
        <v>11</v>
      </c>
      <c r="E877">
        <v>4625.82</v>
      </c>
      <c r="F877">
        <v>6</v>
      </c>
      <c r="G877">
        <v>1247.73</v>
      </c>
      <c r="H877">
        <v>0.05</v>
      </c>
      <c r="I877" t="str">
        <f>VLOOKUP(C877,[1]Sheet!$A:$D,3,FALSE)</f>
        <v>South</v>
      </c>
      <c r="J877" t="str">
        <f>VLOOKUP(C877,[1]Sheet!$A:$D,4,FALSE)</f>
        <v>Consumer</v>
      </c>
      <c r="K877">
        <f t="shared" si="13"/>
        <v>0.2697316367692647</v>
      </c>
    </row>
    <row r="878" spans="1:11" x14ac:dyDescent="0.25">
      <c r="A878" t="s">
        <v>1320</v>
      </c>
      <c r="B878" t="s">
        <v>476</v>
      </c>
      <c r="C878" t="s">
        <v>466</v>
      </c>
      <c r="D878" t="s">
        <v>22</v>
      </c>
      <c r="E878">
        <v>4371.82</v>
      </c>
      <c r="F878">
        <v>3</v>
      </c>
      <c r="G878">
        <v>1296.8599999999999</v>
      </c>
      <c r="H878">
        <v>0.05</v>
      </c>
      <c r="I878" t="str">
        <f>VLOOKUP(C878,[1]Sheet!$A:$D,3,FALSE)</f>
        <v>South</v>
      </c>
      <c r="J878" t="str">
        <f>VLOOKUP(C878,[1]Sheet!$A:$D,4,FALSE)</f>
        <v>Consumer</v>
      </c>
      <c r="K878">
        <f t="shared" si="13"/>
        <v>0.29664075831118392</v>
      </c>
    </row>
    <row r="879" spans="1:11" x14ac:dyDescent="0.25">
      <c r="A879" t="s">
        <v>1321</v>
      </c>
      <c r="B879" t="s">
        <v>968</v>
      </c>
      <c r="C879" t="s">
        <v>119</v>
      </c>
      <c r="D879" t="s">
        <v>15</v>
      </c>
      <c r="E879">
        <v>279.11</v>
      </c>
      <c r="F879">
        <v>1</v>
      </c>
      <c r="G879">
        <v>46.41</v>
      </c>
      <c r="H879">
        <v>0.1</v>
      </c>
      <c r="I879" t="str">
        <f>VLOOKUP(C879,[1]Sheet!$A:$D,3,FALSE)</f>
        <v>East</v>
      </c>
      <c r="J879" t="str">
        <f>VLOOKUP(C879,[1]Sheet!$A:$D,4,FALSE)</f>
        <v>Corporate</v>
      </c>
      <c r="K879">
        <f t="shared" si="13"/>
        <v>0.16627852817885419</v>
      </c>
    </row>
    <row r="880" spans="1:11" x14ac:dyDescent="0.25">
      <c r="A880" t="s">
        <v>1322</v>
      </c>
      <c r="B880" t="s">
        <v>534</v>
      </c>
      <c r="C880" t="s">
        <v>54</v>
      </c>
      <c r="D880" t="s">
        <v>11</v>
      </c>
      <c r="E880">
        <v>3466.56</v>
      </c>
      <c r="F880">
        <v>8</v>
      </c>
      <c r="G880">
        <v>791.37</v>
      </c>
      <c r="H880">
        <v>0</v>
      </c>
      <c r="I880" t="str">
        <f>VLOOKUP(C880,[1]Sheet!$A:$D,3,FALSE)</f>
        <v>West</v>
      </c>
      <c r="J880" t="str">
        <f>VLOOKUP(C880,[1]Sheet!$A:$D,4,FALSE)</f>
        <v>Consumer</v>
      </c>
      <c r="K880">
        <f t="shared" si="13"/>
        <v>0.22828683190252008</v>
      </c>
    </row>
    <row r="881" spans="1:11" x14ac:dyDescent="0.25">
      <c r="A881" t="s">
        <v>1323</v>
      </c>
      <c r="B881" t="s">
        <v>1324</v>
      </c>
      <c r="C881" t="s">
        <v>198</v>
      </c>
      <c r="D881" t="s">
        <v>15</v>
      </c>
      <c r="E881">
        <v>2650.83</v>
      </c>
      <c r="F881">
        <v>10</v>
      </c>
      <c r="G881">
        <v>656.6</v>
      </c>
      <c r="H881">
        <v>0.1</v>
      </c>
      <c r="I881" t="str">
        <f>VLOOKUP(C881,[1]Sheet!$A:$D,3,FALSE)</f>
        <v>South</v>
      </c>
      <c r="J881" t="str">
        <f>VLOOKUP(C881,[1]Sheet!$A:$D,4,FALSE)</f>
        <v>Home Office</v>
      </c>
      <c r="K881">
        <f t="shared" si="13"/>
        <v>0.24769600464760094</v>
      </c>
    </row>
    <row r="882" spans="1:11" x14ac:dyDescent="0.25">
      <c r="A882" t="s">
        <v>1325</v>
      </c>
      <c r="B882" t="s">
        <v>223</v>
      </c>
      <c r="C882" t="s">
        <v>79</v>
      </c>
      <c r="D882" t="s">
        <v>11</v>
      </c>
      <c r="E882">
        <v>4471.46</v>
      </c>
      <c r="F882">
        <v>5</v>
      </c>
      <c r="G882">
        <v>654.01</v>
      </c>
      <c r="H882">
        <v>0.2</v>
      </c>
      <c r="I882" t="str">
        <f>VLOOKUP(C882,[1]Sheet!$A:$D,3,FALSE)</f>
        <v>East</v>
      </c>
      <c r="J882" t="str">
        <f>VLOOKUP(C882,[1]Sheet!$A:$D,4,FALSE)</f>
        <v>Corporate</v>
      </c>
      <c r="K882">
        <f t="shared" si="13"/>
        <v>0.14626318920442091</v>
      </c>
    </row>
    <row r="883" spans="1:11" x14ac:dyDescent="0.25">
      <c r="A883" t="s">
        <v>1326</v>
      </c>
      <c r="B883" t="s">
        <v>262</v>
      </c>
      <c r="C883" t="s">
        <v>155</v>
      </c>
      <c r="D883" t="s">
        <v>15</v>
      </c>
      <c r="E883">
        <v>3886.66</v>
      </c>
      <c r="F883">
        <v>3</v>
      </c>
      <c r="G883">
        <v>976.86</v>
      </c>
      <c r="H883">
        <v>0.1</v>
      </c>
      <c r="I883" t="str">
        <f>VLOOKUP(C883,[1]Sheet!$A:$D,3,FALSE)</f>
        <v>East</v>
      </c>
      <c r="J883" t="str">
        <f>VLOOKUP(C883,[1]Sheet!$A:$D,4,FALSE)</f>
        <v>Home Office</v>
      </c>
      <c r="K883">
        <f t="shared" si="13"/>
        <v>0.25133662321890776</v>
      </c>
    </row>
    <row r="884" spans="1:11" x14ac:dyDescent="0.25">
      <c r="A884" t="s">
        <v>1327</v>
      </c>
      <c r="B884" t="s">
        <v>491</v>
      </c>
      <c r="C884" t="s">
        <v>412</v>
      </c>
      <c r="D884" t="s">
        <v>15</v>
      </c>
      <c r="E884">
        <v>174.76</v>
      </c>
      <c r="F884">
        <v>4</v>
      </c>
      <c r="G884">
        <v>41.4</v>
      </c>
      <c r="H884">
        <v>0.2</v>
      </c>
      <c r="I884" t="str">
        <f>VLOOKUP(C884,[1]Sheet!$A:$D,3,FALSE)</f>
        <v>West</v>
      </c>
      <c r="J884" t="str">
        <f>VLOOKUP(C884,[1]Sheet!$A:$D,4,FALSE)</f>
        <v>Corporate</v>
      </c>
      <c r="K884">
        <f t="shared" si="13"/>
        <v>0.23689631494621194</v>
      </c>
    </row>
    <row r="885" spans="1:11" x14ac:dyDescent="0.25">
      <c r="A885" t="s">
        <v>1328</v>
      </c>
      <c r="B885" t="s">
        <v>530</v>
      </c>
      <c r="C885" t="s">
        <v>65</v>
      </c>
      <c r="D885" t="s">
        <v>11</v>
      </c>
      <c r="E885">
        <v>2791.89</v>
      </c>
      <c r="F885">
        <v>10</v>
      </c>
      <c r="G885">
        <v>366.62</v>
      </c>
      <c r="H885">
        <v>0.05</v>
      </c>
      <c r="I885" t="str">
        <f>VLOOKUP(C885,[1]Sheet!$A:$D,3,FALSE)</f>
        <v>East</v>
      </c>
      <c r="J885" t="str">
        <f>VLOOKUP(C885,[1]Sheet!$A:$D,4,FALSE)</f>
        <v>Corporate</v>
      </c>
      <c r="K885">
        <f t="shared" si="13"/>
        <v>0.13131606187922878</v>
      </c>
    </row>
    <row r="886" spans="1:11" x14ac:dyDescent="0.25">
      <c r="A886" t="s">
        <v>1329</v>
      </c>
      <c r="B886" t="s">
        <v>404</v>
      </c>
      <c r="C886" t="s">
        <v>187</v>
      </c>
      <c r="D886" t="s">
        <v>22</v>
      </c>
      <c r="E886">
        <v>449.09</v>
      </c>
      <c r="F886">
        <v>8</v>
      </c>
      <c r="G886">
        <v>105.08</v>
      </c>
      <c r="H886">
        <v>0</v>
      </c>
      <c r="I886" t="str">
        <f>VLOOKUP(C886,[1]Sheet!$A:$D,3,FALSE)</f>
        <v>West</v>
      </c>
      <c r="J886" t="str">
        <f>VLOOKUP(C886,[1]Sheet!$A:$D,4,FALSE)</f>
        <v>Home Office</v>
      </c>
      <c r="K886">
        <f t="shared" si="13"/>
        <v>0.2339842793204035</v>
      </c>
    </row>
    <row r="887" spans="1:11" x14ac:dyDescent="0.25">
      <c r="A887" t="s">
        <v>1330</v>
      </c>
      <c r="B887" t="s">
        <v>893</v>
      </c>
      <c r="C887" t="s">
        <v>184</v>
      </c>
      <c r="D887" t="s">
        <v>15</v>
      </c>
      <c r="E887">
        <v>242.06</v>
      </c>
      <c r="F887">
        <v>7</v>
      </c>
      <c r="G887">
        <v>77.7</v>
      </c>
      <c r="H887">
        <v>0</v>
      </c>
      <c r="I887" t="str">
        <f>VLOOKUP(C887,[1]Sheet!$A:$D,3,FALSE)</f>
        <v>South</v>
      </c>
      <c r="J887" t="str">
        <f>VLOOKUP(C887,[1]Sheet!$A:$D,4,FALSE)</f>
        <v>Corporate</v>
      </c>
      <c r="K887">
        <f t="shared" si="13"/>
        <v>0.32099479467900521</v>
      </c>
    </row>
    <row r="888" spans="1:11" x14ac:dyDescent="0.25">
      <c r="A888" t="s">
        <v>1331</v>
      </c>
      <c r="B888" t="s">
        <v>368</v>
      </c>
      <c r="C888" t="s">
        <v>34</v>
      </c>
      <c r="D888" t="s">
        <v>22</v>
      </c>
      <c r="E888">
        <v>2189.6799999999998</v>
      </c>
      <c r="F888">
        <v>8</v>
      </c>
      <c r="G888">
        <v>227.06</v>
      </c>
      <c r="H888">
        <v>0.2</v>
      </c>
      <c r="I888" t="str">
        <f>VLOOKUP(C888,[1]Sheet!$A:$D,3,FALSE)</f>
        <v>West</v>
      </c>
      <c r="J888" t="str">
        <f>VLOOKUP(C888,[1]Sheet!$A:$D,4,FALSE)</f>
        <v>Home Office</v>
      </c>
      <c r="K888">
        <f t="shared" si="13"/>
        <v>0.10369551715319135</v>
      </c>
    </row>
    <row r="889" spans="1:11" x14ac:dyDescent="0.25">
      <c r="A889" t="s">
        <v>1332</v>
      </c>
      <c r="B889" t="s">
        <v>273</v>
      </c>
      <c r="C889" t="s">
        <v>91</v>
      </c>
      <c r="D889" t="s">
        <v>22</v>
      </c>
      <c r="E889">
        <v>1630.96</v>
      </c>
      <c r="F889">
        <v>2</v>
      </c>
      <c r="G889">
        <v>481.51</v>
      </c>
      <c r="H889">
        <v>0.15</v>
      </c>
      <c r="I889" t="str">
        <f>VLOOKUP(C889,[1]Sheet!$A:$D,3,FALSE)</f>
        <v>East</v>
      </c>
      <c r="J889" t="str">
        <f>VLOOKUP(C889,[1]Sheet!$A:$D,4,FALSE)</f>
        <v>Consumer</v>
      </c>
      <c r="K889">
        <f t="shared" si="13"/>
        <v>0.29523102957767206</v>
      </c>
    </row>
    <row r="890" spans="1:11" x14ac:dyDescent="0.25">
      <c r="A890" t="s">
        <v>1333</v>
      </c>
      <c r="B890" t="s">
        <v>295</v>
      </c>
      <c r="C890" t="s">
        <v>62</v>
      </c>
      <c r="D890" t="s">
        <v>11</v>
      </c>
      <c r="E890">
        <v>745.8</v>
      </c>
      <c r="F890">
        <v>2</v>
      </c>
      <c r="G890">
        <v>219.16</v>
      </c>
      <c r="H890">
        <v>0.15</v>
      </c>
      <c r="I890" t="str">
        <f>VLOOKUP(C890,[1]Sheet!$A:$D,3,FALSE)</f>
        <v>East</v>
      </c>
      <c r="J890" t="str">
        <f>VLOOKUP(C890,[1]Sheet!$A:$D,4,FALSE)</f>
        <v>Home Office</v>
      </c>
      <c r="K890">
        <f t="shared" si="13"/>
        <v>0.29385894341646557</v>
      </c>
    </row>
    <row r="891" spans="1:11" x14ac:dyDescent="0.25">
      <c r="A891" t="s">
        <v>1334</v>
      </c>
      <c r="B891" t="s">
        <v>828</v>
      </c>
      <c r="C891" t="s">
        <v>260</v>
      </c>
      <c r="D891" t="s">
        <v>11</v>
      </c>
      <c r="E891">
        <v>3453.94</v>
      </c>
      <c r="F891">
        <v>4</v>
      </c>
      <c r="G891">
        <v>908.61</v>
      </c>
      <c r="H891">
        <v>0.05</v>
      </c>
      <c r="I891" t="str">
        <f>VLOOKUP(C891,[1]Sheet!$A:$D,3,FALSE)</f>
        <v>West</v>
      </c>
      <c r="J891" t="str">
        <f>VLOOKUP(C891,[1]Sheet!$A:$D,4,FALSE)</f>
        <v>Corporate</v>
      </c>
      <c r="K891">
        <f t="shared" si="13"/>
        <v>0.26306478977631342</v>
      </c>
    </row>
    <row r="892" spans="1:11" x14ac:dyDescent="0.25">
      <c r="A892" t="s">
        <v>1335</v>
      </c>
      <c r="B892" t="s">
        <v>1062</v>
      </c>
      <c r="C892" t="s">
        <v>318</v>
      </c>
      <c r="D892" t="s">
        <v>11</v>
      </c>
      <c r="E892">
        <v>4319.37</v>
      </c>
      <c r="F892">
        <v>3</v>
      </c>
      <c r="G892">
        <v>1015.41</v>
      </c>
      <c r="H892">
        <v>0.1</v>
      </c>
      <c r="I892" t="str">
        <f>VLOOKUP(C892,[1]Sheet!$A:$D,3,FALSE)</f>
        <v>West</v>
      </c>
      <c r="J892" t="str">
        <f>VLOOKUP(C892,[1]Sheet!$A:$D,4,FALSE)</f>
        <v>Consumer</v>
      </c>
      <c r="K892">
        <f t="shared" si="13"/>
        <v>0.2350828940331576</v>
      </c>
    </row>
    <row r="893" spans="1:11" x14ac:dyDescent="0.25">
      <c r="A893" t="s">
        <v>1336</v>
      </c>
      <c r="B893" t="s">
        <v>134</v>
      </c>
      <c r="C893" t="s">
        <v>428</v>
      </c>
      <c r="D893" t="s">
        <v>15</v>
      </c>
      <c r="E893">
        <v>2321.09</v>
      </c>
      <c r="F893">
        <v>6</v>
      </c>
      <c r="G893">
        <v>137.13</v>
      </c>
      <c r="H893">
        <v>0.15</v>
      </c>
      <c r="I893" t="str">
        <f>VLOOKUP(C893,[1]Sheet!$A:$D,3,FALSE)</f>
        <v>South</v>
      </c>
      <c r="J893" t="str">
        <f>VLOOKUP(C893,[1]Sheet!$A:$D,4,FALSE)</f>
        <v>Home Office</v>
      </c>
      <c r="K893">
        <f t="shared" si="13"/>
        <v>5.908000120632978E-2</v>
      </c>
    </row>
    <row r="894" spans="1:11" x14ac:dyDescent="0.25">
      <c r="A894" t="s">
        <v>1337</v>
      </c>
      <c r="B894" t="s">
        <v>735</v>
      </c>
      <c r="C894" t="s">
        <v>146</v>
      </c>
      <c r="D894" t="s">
        <v>22</v>
      </c>
      <c r="E894">
        <v>4244.25</v>
      </c>
      <c r="F894">
        <v>10</v>
      </c>
      <c r="G894">
        <v>571.6</v>
      </c>
      <c r="H894">
        <v>0.05</v>
      </c>
      <c r="I894" t="str">
        <f>VLOOKUP(C894,[1]Sheet!$A:$D,3,FALSE)</f>
        <v>South</v>
      </c>
      <c r="J894" t="str">
        <f>VLOOKUP(C894,[1]Sheet!$A:$D,4,FALSE)</f>
        <v>Home Office</v>
      </c>
      <c r="K894">
        <f t="shared" si="13"/>
        <v>0.13467632679507568</v>
      </c>
    </row>
    <row r="895" spans="1:11" x14ac:dyDescent="0.25">
      <c r="A895" t="s">
        <v>1338</v>
      </c>
      <c r="B895" t="s">
        <v>140</v>
      </c>
      <c r="C895" t="s">
        <v>132</v>
      </c>
      <c r="D895" t="s">
        <v>11</v>
      </c>
      <c r="E895">
        <v>604.37</v>
      </c>
      <c r="F895">
        <v>9</v>
      </c>
      <c r="G895">
        <v>178.45</v>
      </c>
      <c r="H895">
        <v>0</v>
      </c>
      <c r="I895" t="str">
        <f>VLOOKUP(C895,[1]Sheet!$A:$D,3,FALSE)</f>
        <v>North</v>
      </c>
      <c r="J895" t="str">
        <f>VLOOKUP(C895,[1]Sheet!$A:$D,4,FALSE)</f>
        <v>Home Office</v>
      </c>
      <c r="K895">
        <f t="shared" si="13"/>
        <v>0.29526614491122988</v>
      </c>
    </row>
    <row r="896" spans="1:11" x14ac:dyDescent="0.25">
      <c r="A896" t="s">
        <v>1339</v>
      </c>
      <c r="B896" t="s">
        <v>711</v>
      </c>
      <c r="C896" t="s">
        <v>71</v>
      </c>
      <c r="D896" t="s">
        <v>15</v>
      </c>
      <c r="E896">
        <v>2710.45</v>
      </c>
      <c r="F896">
        <v>10</v>
      </c>
      <c r="G896">
        <v>461.44</v>
      </c>
      <c r="H896">
        <v>0.05</v>
      </c>
      <c r="I896" t="str">
        <f>VLOOKUP(C896,[1]Sheet!$A:$D,3,FALSE)</f>
        <v>South</v>
      </c>
      <c r="J896" t="str">
        <f>VLOOKUP(C896,[1]Sheet!$A:$D,4,FALSE)</f>
        <v>Consumer</v>
      </c>
      <c r="K896">
        <f t="shared" si="13"/>
        <v>0.17024479330000555</v>
      </c>
    </row>
    <row r="897" spans="1:11" x14ac:dyDescent="0.25">
      <c r="A897" t="s">
        <v>1340</v>
      </c>
      <c r="B897" t="s">
        <v>957</v>
      </c>
      <c r="C897" t="s">
        <v>221</v>
      </c>
      <c r="D897" t="s">
        <v>11</v>
      </c>
      <c r="E897">
        <v>879.2</v>
      </c>
      <c r="F897">
        <v>4</v>
      </c>
      <c r="G897">
        <v>171.19</v>
      </c>
      <c r="H897">
        <v>0.2</v>
      </c>
      <c r="I897" t="str">
        <f>VLOOKUP(C897,[1]Sheet!$A:$D,3,FALSE)</f>
        <v>South</v>
      </c>
      <c r="J897" t="str">
        <f>VLOOKUP(C897,[1]Sheet!$A:$D,4,FALSE)</f>
        <v>Corporate</v>
      </c>
      <c r="K897">
        <f t="shared" si="13"/>
        <v>0.19471110100090991</v>
      </c>
    </row>
    <row r="898" spans="1:11" x14ac:dyDescent="0.25">
      <c r="A898" t="s">
        <v>1341</v>
      </c>
      <c r="B898" t="s">
        <v>1129</v>
      </c>
      <c r="C898" t="s">
        <v>127</v>
      </c>
      <c r="D898" t="s">
        <v>22</v>
      </c>
      <c r="E898">
        <v>3943.14</v>
      </c>
      <c r="F898">
        <v>4</v>
      </c>
      <c r="G898">
        <v>712.16</v>
      </c>
      <c r="H898">
        <v>0.05</v>
      </c>
      <c r="I898" t="str">
        <f>VLOOKUP(C898,[1]Sheet!$A:$D,3,FALSE)</f>
        <v>South</v>
      </c>
      <c r="J898" t="str">
        <f>VLOOKUP(C898,[1]Sheet!$A:$D,4,FALSE)</f>
        <v>Consumer</v>
      </c>
      <c r="K898">
        <f t="shared" si="13"/>
        <v>0.18060733324203554</v>
      </c>
    </row>
    <row r="899" spans="1:11" x14ac:dyDescent="0.25">
      <c r="A899" t="s">
        <v>1342</v>
      </c>
      <c r="B899" t="s">
        <v>1064</v>
      </c>
      <c r="C899" t="s">
        <v>21</v>
      </c>
      <c r="D899" t="s">
        <v>22</v>
      </c>
      <c r="E899">
        <v>3381.07</v>
      </c>
      <c r="F899">
        <v>8</v>
      </c>
      <c r="G899">
        <v>919.01</v>
      </c>
      <c r="H899">
        <v>0</v>
      </c>
      <c r="I899" t="str">
        <f>VLOOKUP(C899,[1]Sheet!$A:$D,3,FALSE)</f>
        <v>North</v>
      </c>
      <c r="J899" t="str">
        <f>VLOOKUP(C899,[1]Sheet!$A:$D,4,FALSE)</f>
        <v>Consumer</v>
      </c>
      <c r="K899">
        <f t="shared" ref="K899:K962" si="14">G899/E899</f>
        <v>0.27181040321555011</v>
      </c>
    </row>
    <row r="900" spans="1:11" x14ac:dyDescent="0.25">
      <c r="A900" t="s">
        <v>1343</v>
      </c>
      <c r="B900" t="s">
        <v>392</v>
      </c>
      <c r="C900" t="s">
        <v>359</v>
      </c>
      <c r="D900" t="s">
        <v>11</v>
      </c>
      <c r="E900">
        <v>3020.77</v>
      </c>
      <c r="F900">
        <v>3</v>
      </c>
      <c r="G900">
        <v>445.91</v>
      </c>
      <c r="H900">
        <v>0.1</v>
      </c>
      <c r="I900" t="str">
        <f>VLOOKUP(C900,[1]Sheet!$A:$D,3,FALSE)</f>
        <v>East</v>
      </c>
      <c r="J900" t="str">
        <f>VLOOKUP(C900,[1]Sheet!$A:$D,4,FALSE)</f>
        <v>Home Office</v>
      </c>
      <c r="K900">
        <f t="shared" si="14"/>
        <v>0.14761468102503666</v>
      </c>
    </row>
    <row r="901" spans="1:11" x14ac:dyDescent="0.25">
      <c r="A901" t="s">
        <v>1344</v>
      </c>
      <c r="B901" t="s">
        <v>368</v>
      </c>
      <c r="C901" t="s">
        <v>104</v>
      </c>
      <c r="D901" t="s">
        <v>11</v>
      </c>
      <c r="E901">
        <v>441.08</v>
      </c>
      <c r="F901">
        <v>6</v>
      </c>
      <c r="G901">
        <v>36.44</v>
      </c>
      <c r="H901">
        <v>0.15</v>
      </c>
      <c r="I901" t="str">
        <f>VLOOKUP(C901,[1]Sheet!$A:$D,3,FALSE)</f>
        <v>South</v>
      </c>
      <c r="J901" t="str">
        <f>VLOOKUP(C901,[1]Sheet!$A:$D,4,FALSE)</f>
        <v>Home Office</v>
      </c>
      <c r="K901">
        <f t="shared" si="14"/>
        <v>8.2615398567153345E-2</v>
      </c>
    </row>
    <row r="902" spans="1:11" x14ac:dyDescent="0.25">
      <c r="A902" t="s">
        <v>1345</v>
      </c>
      <c r="B902" t="s">
        <v>538</v>
      </c>
      <c r="C902" t="s">
        <v>286</v>
      </c>
      <c r="D902" t="s">
        <v>22</v>
      </c>
      <c r="E902">
        <v>3334.81</v>
      </c>
      <c r="F902">
        <v>1</v>
      </c>
      <c r="G902">
        <v>257.31</v>
      </c>
      <c r="H902">
        <v>0.05</v>
      </c>
      <c r="I902" t="str">
        <f>VLOOKUP(C902,[1]Sheet!$A:$D,3,FALSE)</f>
        <v>South</v>
      </c>
      <c r="J902" t="str">
        <f>VLOOKUP(C902,[1]Sheet!$A:$D,4,FALSE)</f>
        <v>Consumer</v>
      </c>
      <c r="K902">
        <f t="shared" si="14"/>
        <v>7.7158818643340996E-2</v>
      </c>
    </row>
    <row r="903" spans="1:11" x14ac:dyDescent="0.25">
      <c r="A903" t="s">
        <v>1346</v>
      </c>
      <c r="B903" t="s">
        <v>1347</v>
      </c>
      <c r="C903" t="s">
        <v>21</v>
      </c>
      <c r="D903" t="s">
        <v>22</v>
      </c>
      <c r="E903">
        <v>831.16</v>
      </c>
      <c r="F903">
        <v>10</v>
      </c>
      <c r="G903">
        <v>174.03</v>
      </c>
      <c r="H903">
        <v>0.15</v>
      </c>
      <c r="I903" t="str">
        <f>VLOOKUP(C903,[1]Sheet!$A:$D,3,FALSE)</f>
        <v>North</v>
      </c>
      <c r="J903" t="str">
        <f>VLOOKUP(C903,[1]Sheet!$A:$D,4,FALSE)</f>
        <v>Consumer</v>
      </c>
      <c r="K903">
        <f t="shared" si="14"/>
        <v>0.20938206843447713</v>
      </c>
    </row>
    <row r="904" spans="1:11" x14ac:dyDescent="0.25">
      <c r="A904" t="s">
        <v>1348</v>
      </c>
      <c r="B904" t="s">
        <v>536</v>
      </c>
      <c r="C904" t="s">
        <v>135</v>
      </c>
      <c r="D904" t="s">
        <v>22</v>
      </c>
      <c r="E904">
        <v>1107.74</v>
      </c>
      <c r="F904">
        <v>5</v>
      </c>
      <c r="G904">
        <v>346.97</v>
      </c>
      <c r="H904">
        <v>0.15</v>
      </c>
      <c r="I904" t="str">
        <f>VLOOKUP(C904,[1]Sheet!$A:$D,3,FALSE)</f>
        <v>East</v>
      </c>
      <c r="J904" t="str">
        <f>VLOOKUP(C904,[1]Sheet!$A:$D,4,FALSE)</f>
        <v>Home Office</v>
      </c>
      <c r="K904">
        <f t="shared" si="14"/>
        <v>0.31322331955151933</v>
      </c>
    </row>
    <row r="905" spans="1:11" x14ac:dyDescent="0.25">
      <c r="A905" t="s">
        <v>1349</v>
      </c>
      <c r="B905" t="s">
        <v>1255</v>
      </c>
      <c r="C905" t="s">
        <v>449</v>
      </c>
      <c r="D905" t="s">
        <v>22</v>
      </c>
      <c r="E905">
        <v>4914.6400000000003</v>
      </c>
      <c r="F905">
        <v>1</v>
      </c>
      <c r="G905">
        <v>753.31</v>
      </c>
      <c r="H905">
        <v>0.2</v>
      </c>
      <c r="I905" t="str">
        <f>VLOOKUP(C905,[1]Sheet!$A:$D,3,FALSE)</f>
        <v>East</v>
      </c>
      <c r="J905" t="str">
        <f>VLOOKUP(C905,[1]Sheet!$A:$D,4,FALSE)</f>
        <v>Corporate</v>
      </c>
      <c r="K905">
        <f t="shared" si="14"/>
        <v>0.15327877525108652</v>
      </c>
    </row>
    <row r="906" spans="1:11" x14ac:dyDescent="0.25">
      <c r="A906" t="s">
        <v>1350</v>
      </c>
      <c r="B906" t="s">
        <v>315</v>
      </c>
      <c r="C906" t="s">
        <v>132</v>
      </c>
      <c r="D906" t="s">
        <v>15</v>
      </c>
      <c r="E906">
        <v>2080.5700000000002</v>
      </c>
      <c r="F906">
        <v>6</v>
      </c>
      <c r="G906">
        <v>183.65</v>
      </c>
      <c r="H906">
        <v>0.2</v>
      </c>
      <c r="I906" t="str">
        <f>VLOOKUP(C906,[1]Sheet!$A:$D,3,FALSE)</f>
        <v>North</v>
      </c>
      <c r="J906" t="str">
        <f>VLOOKUP(C906,[1]Sheet!$A:$D,4,FALSE)</f>
        <v>Home Office</v>
      </c>
      <c r="K906">
        <f t="shared" si="14"/>
        <v>8.8269080107855058E-2</v>
      </c>
    </row>
    <row r="907" spans="1:11" x14ac:dyDescent="0.25">
      <c r="A907" t="s">
        <v>1351</v>
      </c>
      <c r="B907" t="s">
        <v>328</v>
      </c>
      <c r="C907" t="s">
        <v>173</v>
      </c>
      <c r="D907" t="s">
        <v>15</v>
      </c>
      <c r="E907">
        <v>104.13</v>
      </c>
      <c r="F907">
        <v>5</v>
      </c>
      <c r="G907">
        <v>22.7</v>
      </c>
      <c r="H907">
        <v>0</v>
      </c>
      <c r="I907" t="str">
        <f>VLOOKUP(C907,[1]Sheet!$A:$D,3,FALSE)</f>
        <v>North</v>
      </c>
      <c r="J907" t="str">
        <f>VLOOKUP(C907,[1]Sheet!$A:$D,4,FALSE)</f>
        <v>Consumer</v>
      </c>
      <c r="K907">
        <f t="shared" si="14"/>
        <v>0.21799673485066745</v>
      </c>
    </row>
    <row r="908" spans="1:11" x14ac:dyDescent="0.25">
      <c r="A908" t="s">
        <v>1352</v>
      </c>
      <c r="B908" t="s">
        <v>1353</v>
      </c>
      <c r="C908" t="s">
        <v>14</v>
      </c>
      <c r="D908" t="s">
        <v>11</v>
      </c>
      <c r="E908">
        <v>2215.41</v>
      </c>
      <c r="F908">
        <v>7</v>
      </c>
      <c r="G908">
        <v>503.01</v>
      </c>
      <c r="H908">
        <v>0.15</v>
      </c>
      <c r="I908" t="str">
        <f>VLOOKUP(C908,[1]Sheet!$A:$D,3,FALSE)</f>
        <v>North</v>
      </c>
      <c r="J908" t="str">
        <f>VLOOKUP(C908,[1]Sheet!$A:$D,4,FALSE)</f>
        <v>Corporate</v>
      </c>
      <c r="K908">
        <f t="shared" si="14"/>
        <v>0.22705052337941961</v>
      </c>
    </row>
    <row r="909" spans="1:11" x14ac:dyDescent="0.25">
      <c r="A909" t="s">
        <v>1354</v>
      </c>
      <c r="B909" t="s">
        <v>435</v>
      </c>
      <c r="C909" t="s">
        <v>162</v>
      </c>
      <c r="D909" t="s">
        <v>11</v>
      </c>
      <c r="E909">
        <v>2232.4299999999998</v>
      </c>
      <c r="F909">
        <v>3</v>
      </c>
      <c r="G909">
        <v>253.08</v>
      </c>
      <c r="H909">
        <v>0.05</v>
      </c>
      <c r="I909" t="str">
        <f>VLOOKUP(C909,[1]Sheet!$A:$D,3,FALSE)</f>
        <v>West</v>
      </c>
      <c r="J909" t="str">
        <f>VLOOKUP(C909,[1]Sheet!$A:$D,4,FALSE)</f>
        <v>Corporate</v>
      </c>
      <c r="K909">
        <f t="shared" si="14"/>
        <v>0.11336525669337898</v>
      </c>
    </row>
    <row r="910" spans="1:11" x14ac:dyDescent="0.25">
      <c r="A910" t="s">
        <v>1355</v>
      </c>
      <c r="B910" t="s">
        <v>1019</v>
      </c>
      <c r="C910" t="s">
        <v>243</v>
      </c>
      <c r="D910" t="s">
        <v>15</v>
      </c>
      <c r="E910">
        <v>1984.52</v>
      </c>
      <c r="F910">
        <v>5</v>
      </c>
      <c r="G910">
        <v>649.62</v>
      </c>
      <c r="H910">
        <v>0.05</v>
      </c>
      <c r="I910" t="str">
        <f>VLOOKUP(C910,[1]Sheet!$A:$D,3,FALSE)</f>
        <v>North</v>
      </c>
      <c r="J910" t="str">
        <f>VLOOKUP(C910,[1]Sheet!$A:$D,4,FALSE)</f>
        <v>Home Office</v>
      </c>
      <c r="K910">
        <f t="shared" si="14"/>
        <v>0.32734363977183401</v>
      </c>
    </row>
    <row r="911" spans="1:11" x14ac:dyDescent="0.25">
      <c r="A911" t="s">
        <v>1356</v>
      </c>
      <c r="B911" t="s">
        <v>1357</v>
      </c>
      <c r="C911" t="s">
        <v>355</v>
      </c>
      <c r="D911" t="s">
        <v>22</v>
      </c>
      <c r="E911">
        <v>156.85</v>
      </c>
      <c r="F911">
        <v>8</v>
      </c>
      <c r="G911">
        <v>38.35</v>
      </c>
      <c r="H911">
        <v>0.15</v>
      </c>
      <c r="I911" t="str">
        <f>VLOOKUP(C911,[1]Sheet!$A:$D,3,FALSE)</f>
        <v>North</v>
      </c>
      <c r="J911" t="str">
        <f>VLOOKUP(C911,[1]Sheet!$A:$D,4,FALSE)</f>
        <v>Consumer</v>
      </c>
      <c r="K911">
        <f t="shared" si="14"/>
        <v>0.24450111571565192</v>
      </c>
    </row>
    <row r="912" spans="1:11" x14ac:dyDescent="0.25">
      <c r="A912" t="s">
        <v>1358</v>
      </c>
      <c r="B912" t="s">
        <v>358</v>
      </c>
      <c r="C912" t="s">
        <v>355</v>
      </c>
      <c r="D912" t="s">
        <v>11</v>
      </c>
      <c r="E912">
        <v>514.85</v>
      </c>
      <c r="F912">
        <v>10</v>
      </c>
      <c r="G912">
        <v>124.94</v>
      </c>
      <c r="H912">
        <v>0.15</v>
      </c>
      <c r="I912" t="str">
        <f>VLOOKUP(C912,[1]Sheet!$A:$D,3,FALSE)</f>
        <v>North</v>
      </c>
      <c r="J912" t="str">
        <f>VLOOKUP(C912,[1]Sheet!$A:$D,4,FALSE)</f>
        <v>Consumer</v>
      </c>
      <c r="K912">
        <f t="shared" si="14"/>
        <v>0.24267262309410506</v>
      </c>
    </row>
    <row r="913" spans="1:11" x14ac:dyDescent="0.25">
      <c r="A913" t="s">
        <v>1359</v>
      </c>
      <c r="B913" t="s">
        <v>248</v>
      </c>
      <c r="C913" t="s">
        <v>94</v>
      </c>
      <c r="D913" t="s">
        <v>11</v>
      </c>
      <c r="E913">
        <v>981.01</v>
      </c>
      <c r="F913">
        <v>7</v>
      </c>
      <c r="G913">
        <v>198.97</v>
      </c>
      <c r="H913">
        <v>0.1</v>
      </c>
      <c r="I913" t="str">
        <f>VLOOKUP(C913,[1]Sheet!$A:$D,3,FALSE)</f>
        <v>East</v>
      </c>
      <c r="J913" t="str">
        <f>VLOOKUP(C913,[1]Sheet!$A:$D,4,FALSE)</f>
        <v>Corporate</v>
      </c>
      <c r="K913">
        <f t="shared" si="14"/>
        <v>0.20282158183912499</v>
      </c>
    </row>
    <row r="914" spans="1:11" x14ac:dyDescent="0.25">
      <c r="A914" t="s">
        <v>1360</v>
      </c>
      <c r="B914" t="s">
        <v>552</v>
      </c>
      <c r="C914" t="s">
        <v>218</v>
      </c>
      <c r="D914" t="s">
        <v>11</v>
      </c>
      <c r="E914">
        <v>1010.38</v>
      </c>
      <c r="F914">
        <v>4</v>
      </c>
      <c r="G914">
        <v>233.77</v>
      </c>
      <c r="H914">
        <v>0.2</v>
      </c>
      <c r="I914" t="str">
        <f>VLOOKUP(C914,[1]Sheet!$A:$D,3,FALSE)</f>
        <v>South</v>
      </c>
      <c r="J914" t="str">
        <f>VLOOKUP(C914,[1]Sheet!$A:$D,4,FALSE)</f>
        <v>Corporate</v>
      </c>
      <c r="K914">
        <f t="shared" si="14"/>
        <v>0.23136839604901127</v>
      </c>
    </row>
    <row r="915" spans="1:11" x14ac:dyDescent="0.25">
      <c r="A915" t="s">
        <v>1361</v>
      </c>
      <c r="B915" t="s">
        <v>341</v>
      </c>
      <c r="C915" t="s">
        <v>224</v>
      </c>
      <c r="D915" t="s">
        <v>15</v>
      </c>
      <c r="E915">
        <v>2113.11</v>
      </c>
      <c r="F915">
        <v>1</v>
      </c>
      <c r="G915">
        <v>451.89</v>
      </c>
      <c r="H915">
        <v>0.2</v>
      </c>
      <c r="I915" t="str">
        <f>VLOOKUP(C915,[1]Sheet!$A:$D,3,FALSE)</f>
        <v>South</v>
      </c>
      <c r="J915" t="str">
        <f>VLOOKUP(C915,[1]Sheet!$A:$D,4,FALSE)</f>
        <v>Home Office</v>
      </c>
      <c r="K915">
        <f t="shared" si="14"/>
        <v>0.21385067507134034</v>
      </c>
    </row>
    <row r="916" spans="1:11" x14ac:dyDescent="0.25">
      <c r="A916" t="s">
        <v>1362</v>
      </c>
      <c r="B916" t="s">
        <v>343</v>
      </c>
      <c r="C916" t="s">
        <v>238</v>
      </c>
      <c r="D916" t="s">
        <v>22</v>
      </c>
      <c r="E916">
        <v>3553.92</v>
      </c>
      <c r="F916">
        <v>2</v>
      </c>
      <c r="G916">
        <v>298.35000000000002</v>
      </c>
      <c r="H916">
        <v>0.05</v>
      </c>
      <c r="I916" t="str">
        <f>VLOOKUP(C916,[1]Sheet!$A:$D,3,FALSE)</f>
        <v>North</v>
      </c>
      <c r="J916" t="str">
        <f>VLOOKUP(C916,[1]Sheet!$A:$D,4,FALSE)</f>
        <v>Corporate</v>
      </c>
      <c r="K916">
        <f t="shared" si="14"/>
        <v>8.3949554294975692E-2</v>
      </c>
    </row>
    <row r="917" spans="1:11" x14ac:dyDescent="0.25">
      <c r="A917" t="s">
        <v>1363</v>
      </c>
      <c r="B917" t="s">
        <v>692</v>
      </c>
      <c r="C917" t="s">
        <v>110</v>
      </c>
      <c r="D917" t="s">
        <v>11</v>
      </c>
      <c r="E917">
        <v>3683.34</v>
      </c>
      <c r="F917">
        <v>9</v>
      </c>
      <c r="G917">
        <v>1271.02</v>
      </c>
      <c r="H917">
        <v>0</v>
      </c>
      <c r="I917" t="str">
        <f>VLOOKUP(C917,[1]Sheet!$A:$D,3,FALSE)</f>
        <v>West</v>
      </c>
      <c r="J917" t="str">
        <f>VLOOKUP(C917,[1]Sheet!$A:$D,4,FALSE)</f>
        <v>Consumer</v>
      </c>
      <c r="K917">
        <f t="shared" si="14"/>
        <v>0.34507267860148666</v>
      </c>
    </row>
    <row r="918" spans="1:11" x14ac:dyDescent="0.25">
      <c r="A918" t="s">
        <v>1364</v>
      </c>
      <c r="B918" t="s">
        <v>804</v>
      </c>
      <c r="C918" t="s">
        <v>212</v>
      </c>
      <c r="D918" t="s">
        <v>22</v>
      </c>
      <c r="E918">
        <v>4460.59</v>
      </c>
      <c r="F918">
        <v>2</v>
      </c>
      <c r="G918">
        <v>341.39</v>
      </c>
      <c r="H918">
        <v>0.2</v>
      </c>
      <c r="I918" t="str">
        <f>VLOOKUP(C918,[1]Sheet!$A:$D,3,FALSE)</f>
        <v>North</v>
      </c>
      <c r="J918" t="str">
        <f>VLOOKUP(C918,[1]Sheet!$A:$D,4,FALSE)</f>
        <v>Home Office</v>
      </c>
      <c r="K918">
        <f t="shared" si="14"/>
        <v>7.653471850136416E-2</v>
      </c>
    </row>
    <row r="919" spans="1:11" x14ac:dyDescent="0.25">
      <c r="A919" t="s">
        <v>1365</v>
      </c>
      <c r="B919" t="s">
        <v>1129</v>
      </c>
      <c r="C919" t="s">
        <v>88</v>
      </c>
      <c r="D919" t="s">
        <v>22</v>
      </c>
      <c r="E919">
        <v>1631.25</v>
      </c>
      <c r="F919">
        <v>1</v>
      </c>
      <c r="G919">
        <v>107.39</v>
      </c>
      <c r="H919">
        <v>0.15</v>
      </c>
      <c r="I919" t="str">
        <f>VLOOKUP(C919,[1]Sheet!$A:$D,3,FALSE)</f>
        <v>North</v>
      </c>
      <c r="J919" t="str">
        <f>VLOOKUP(C919,[1]Sheet!$A:$D,4,FALSE)</f>
        <v>Home Office</v>
      </c>
      <c r="K919">
        <f t="shared" si="14"/>
        <v>6.5832950191570885E-2</v>
      </c>
    </row>
    <row r="920" spans="1:11" x14ac:dyDescent="0.25">
      <c r="A920" t="s">
        <v>1366</v>
      </c>
      <c r="B920" t="s">
        <v>115</v>
      </c>
      <c r="C920" t="s">
        <v>102</v>
      </c>
      <c r="D920" t="s">
        <v>11</v>
      </c>
      <c r="E920">
        <v>2612.0500000000002</v>
      </c>
      <c r="F920">
        <v>6</v>
      </c>
      <c r="G920">
        <v>498.3</v>
      </c>
      <c r="H920">
        <v>0.1</v>
      </c>
      <c r="I920" t="str">
        <f>VLOOKUP(C920,[1]Sheet!$A:$D,3,FALSE)</f>
        <v>South</v>
      </c>
      <c r="J920" t="str">
        <f>VLOOKUP(C920,[1]Sheet!$A:$D,4,FALSE)</f>
        <v>Home Office</v>
      </c>
      <c r="K920">
        <f t="shared" si="14"/>
        <v>0.19076970195823204</v>
      </c>
    </row>
    <row r="921" spans="1:11" x14ac:dyDescent="0.25">
      <c r="A921" t="s">
        <v>1367</v>
      </c>
      <c r="B921" t="s">
        <v>368</v>
      </c>
      <c r="C921" t="s">
        <v>495</v>
      </c>
      <c r="D921" t="s">
        <v>22</v>
      </c>
      <c r="E921">
        <v>920.79</v>
      </c>
      <c r="F921">
        <v>5</v>
      </c>
      <c r="G921">
        <v>238.04</v>
      </c>
      <c r="H921">
        <v>0.2</v>
      </c>
      <c r="I921" t="str">
        <f>VLOOKUP(C921,[1]Sheet!$A:$D,3,FALSE)</f>
        <v>South</v>
      </c>
      <c r="J921" t="str">
        <f>VLOOKUP(C921,[1]Sheet!$A:$D,4,FALSE)</f>
        <v>Home Office</v>
      </c>
      <c r="K921">
        <f t="shared" si="14"/>
        <v>0.25851714288817212</v>
      </c>
    </row>
    <row r="922" spans="1:11" x14ac:dyDescent="0.25">
      <c r="A922" t="s">
        <v>1368</v>
      </c>
      <c r="B922" t="s">
        <v>129</v>
      </c>
      <c r="C922" t="s">
        <v>40</v>
      </c>
      <c r="D922" t="s">
        <v>22</v>
      </c>
      <c r="E922">
        <v>400.95</v>
      </c>
      <c r="F922">
        <v>1</v>
      </c>
      <c r="G922">
        <v>76.959999999999994</v>
      </c>
      <c r="H922">
        <v>0.1</v>
      </c>
      <c r="I922" t="str">
        <f>VLOOKUP(C922,[1]Sheet!$A:$D,3,FALSE)</f>
        <v>East</v>
      </c>
      <c r="J922" t="str">
        <f>VLOOKUP(C922,[1]Sheet!$A:$D,4,FALSE)</f>
        <v>Corporate</v>
      </c>
      <c r="K922">
        <f t="shared" si="14"/>
        <v>0.19194413268487343</v>
      </c>
    </row>
    <row r="923" spans="1:11" x14ac:dyDescent="0.25">
      <c r="A923" t="s">
        <v>1369</v>
      </c>
      <c r="B923" t="s">
        <v>1101</v>
      </c>
      <c r="C923" t="s">
        <v>424</v>
      </c>
      <c r="D923" t="s">
        <v>15</v>
      </c>
      <c r="E923">
        <v>3159.15</v>
      </c>
      <c r="F923">
        <v>9</v>
      </c>
      <c r="G923">
        <v>429.79</v>
      </c>
      <c r="H923">
        <v>0</v>
      </c>
      <c r="I923" t="str">
        <f>VLOOKUP(C923,[1]Sheet!$A:$D,3,FALSE)</f>
        <v>South</v>
      </c>
      <c r="J923" t="str">
        <f>VLOOKUP(C923,[1]Sheet!$A:$D,4,FALSE)</f>
        <v>Consumer</v>
      </c>
      <c r="K923">
        <f t="shared" si="14"/>
        <v>0.13604608834654891</v>
      </c>
    </row>
    <row r="924" spans="1:11" x14ac:dyDescent="0.25">
      <c r="A924" t="s">
        <v>1370</v>
      </c>
      <c r="B924" t="s">
        <v>330</v>
      </c>
      <c r="C924" t="s">
        <v>176</v>
      </c>
      <c r="D924" t="s">
        <v>11</v>
      </c>
      <c r="E924">
        <v>1335.05</v>
      </c>
      <c r="F924">
        <v>1</v>
      </c>
      <c r="G924">
        <v>313.39</v>
      </c>
      <c r="H924">
        <v>0</v>
      </c>
      <c r="I924" t="str">
        <f>VLOOKUP(C924,[1]Sheet!$A:$D,3,FALSE)</f>
        <v>East</v>
      </c>
      <c r="J924" t="str">
        <f>VLOOKUP(C924,[1]Sheet!$A:$D,4,FALSE)</f>
        <v>Home Office</v>
      </c>
      <c r="K924">
        <f t="shared" si="14"/>
        <v>0.23474027189992883</v>
      </c>
    </row>
    <row r="925" spans="1:11" x14ac:dyDescent="0.25">
      <c r="A925" t="s">
        <v>1371</v>
      </c>
      <c r="B925" t="s">
        <v>154</v>
      </c>
      <c r="C925" t="s">
        <v>333</v>
      </c>
      <c r="D925" t="s">
        <v>22</v>
      </c>
      <c r="E925">
        <v>955.61</v>
      </c>
      <c r="F925">
        <v>8</v>
      </c>
      <c r="G925">
        <v>217.43</v>
      </c>
      <c r="H925">
        <v>0.1</v>
      </c>
      <c r="I925" t="str">
        <f>VLOOKUP(C925,[1]Sheet!$A:$D,3,FALSE)</f>
        <v>East</v>
      </c>
      <c r="J925" t="str">
        <f>VLOOKUP(C925,[1]Sheet!$A:$D,4,FALSE)</f>
        <v>Consumer</v>
      </c>
      <c r="K925">
        <f t="shared" si="14"/>
        <v>0.22753005933382867</v>
      </c>
    </row>
    <row r="926" spans="1:11" x14ac:dyDescent="0.25">
      <c r="A926" t="s">
        <v>1372</v>
      </c>
      <c r="B926" t="s">
        <v>1373</v>
      </c>
      <c r="C926" t="s">
        <v>201</v>
      </c>
      <c r="D926" t="s">
        <v>15</v>
      </c>
      <c r="E926">
        <v>1380.14</v>
      </c>
      <c r="F926">
        <v>9</v>
      </c>
      <c r="G926">
        <v>359.16</v>
      </c>
      <c r="H926">
        <v>0</v>
      </c>
      <c r="I926" t="str">
        <f>VLOOKUP(C926,[1]Sheet!$A:$D,3,FALSE)</f>
        <v>North</v>
      </c>
      <c r="J926" t="str">
        <f>VLOOKUP(C926,[1]Sheet!$A:$D,4,FALSE)</f>
        <v>Corporate</v>
      </c>
      <c r="K926">
        <f t="shared" si="14"/>
        <v>0.26023446896691638</v>
      </c>
    </row>
    <row r="927" spans="1:11" x14ac:dyDescent="0.25">
      <c r="A927" t="s">
        <v>1374</v>
      </c>
      <c r="B927" t="s">
        <v>145</v>
      </c>
      <c r="C927" t="s">
        <v>208</v>
      </c>
      <c r="D927" t="s">
        <v>15</v>
      </c>
      <c r="E927">
        <v>4921.95</v>
      </c>
      <c r="F927">
        <v>8</v>
      </c>
      <c r="G927">
        <v>1674.47</v>
      </c>
      <c r="H927">
        <v>0.15</v>
      </c>
      <c r="I927" t="str">
        <f>VLOOKUP(C927,[1]Sheet!$A:$D,3,FALSE)</f>
        <v>South</v>
      </c>
      <c r="J927" t="str">
        <f>VLOOKUP(C927,[1]Sheet!$A:$D,4,FALSE)</f>
        <v>Consumer</v>
      </c>
      <c r="K927">
        <f t="shared" si="14"/>
        <v>0.34020459370777845</v>
      </c>
    </row>
    <row r="928" spans="1:11" x14ac:dyDescent="0.25">
      <c r="A928" t="s">
        <v>1375</v>
      </c>
      <c r="B928" t="s">
        <v>150</v>
      </c>
      <c r="C928" t="s">
        <v>466</v>
      </c>
      <c r="D928" t="s">
        <v>15</v>
      </c>
      <c r="E928">
        <v>1977.52</v>
      </c>
      <c r="F928">
        <v>4</v>
      </c>
      <c r="G928">
        <v>490.82</v>
      </c>
      <c r="H928">
        <v>0.2</v>
      </c>
      <c r="I928" t="str">
        <f>VLOOKUP(C928,[1]Sheet!$A:$D,3,FALSE)</f>
        <v>South</v>
      </c>
      <c r="J928" t="str">
        <f>VLOOKUP(C928,[1]Sheet!$A:$D,4,FALSE)</f>
        <v>Consumer</v>
      </c>
      <c r="K928">
        <f t="shared" si="14"/>
        <v>0.24819976536267649</v>
      </c>
    </row>
    <row r="929" spans="1:11" x14ac:dyDescent="0.25">
      <c r="A929" t="s">
        <v>1376</v>
      </c>
      <c r="B929" t="s">
        <v>346</v>
      </c>
      <c r="C929" t="s">
        <v>110</v>
      </c>
      <c r="D929" t="s">
        <v>15</v>
      </c>
      <c r="E929">
        <v>4224.9799999999996</v>
      </c>
      <c r="F929">
        <v>1</v>
      </c>
      <c r="G929">
        <v>280.11</v>
      </c>
      <c r="H929">
        <v>0.05</v>
      </c>
      <c r="I929" t="str">
        <f>VLOOKUP(C929,[1]Sheet!$A:$D,3,FALSE)</f>
        <v>West</v>
      </c>
      <c r="J929" t="str">
        <f>VLOOKUP(C929,[1]Sheet!$A:$D,4,FALSE)</f>
        <v>Consumer</v>
      </c>
      <c r="K929">
        <f t="shared" si="14"/>
        <v>6.6298538691307418E-2</v>
      </c>
    </row>
    <row r="930" spans="1:11" x14ac:dyDescent="0.25">
      <c r="A930" t="s">
        <v>1377</v>
      </c>
      <c r="B930" t="s">
        <v>1378</v>
      </c>
      <c r="C930" t="s">
        <v>146</v>
      </c>
      <c r="D930" t="s">
        <v>15</v>
      </c>
      <c r="E930">
        <v>2053.85</v>
      </c>
      <c r="F930">
        <v>7</v>
      </c>
      <c r="G930">
        <v>288.38</v>
      </c>
      <c r="H930">
        <v>0.15</v>
      </c>
      <c r="I930" t="str">
        <f>VLOOKUP(C930,[1]Sheet!$A:$D,3,FALSE)</f>
        <v>South</v>
      </c>
      <c r="J930" t="str">
        <f>VLOOKUP(C930,[1]Sheet!$A:$D,4,FALSE)</f>
        <v>Home Office</v>
      </c>
      <c r="K930">
        <f t="shared" si="14"/>
        <v>0.14040947488862382</v>
      </c>
    </row>
    <row r="931" spans="1:11" x14ac:dyDescent="0.25">
      <c r="A931" t="s">
        <v>1379</v>
      </c>
      <c r="B931" t="s">
        <v>951</v>
      </c>
      <c r="C931" t="s">
        <v>18</v>
      </c>
      <c r="D931" t="s">
        <v>15</v>
      </c>
      <c r="E931">
        <v>1386.86</v>
      </c>
      <c r="F931">
        <v>5</v>
      </c>
      <c r="G931">
        <v>290.04000000000002</v>
      </c>
      <c r="H931">
        <v>0.15</v>
      </c>
      <c r="I931" t="str">
        <f>VLOOKUP(C931,[1]Sheet!$A:$D,3,FALSE)</f>
        <v>West</v>
      </c>
      <c r="J931" t="str">
        <f>VLOOKUP(C931,[1]Sheet!$A:$D,4,FALSE)</f>
        <v>Home Office</v>
      </c>
      <c r="K931">
        <f t="shared" si="14"/>
        <v>0.20913430339039271</v>
      </c>
    </row>
    <row r="932" spans="1:11" x14ac:dyDescent="0.25">
      <c r="A932" t="s">
        <v>1380</v>
      </c>
      <c r="B932" t="s">
        <v>317</v>
      </c>
      <c r="C932" t="s">
        <v>162</v>
      </c>
      <c r="D932" t="s">
        <v>15</v>
      </c>
      <c r="E932">
        <v>3424.62</v>
      </c>
      <c r="F932">
        <v>2</v>
      </c>
      <c r="G932">
        <v>1159.33</v>
      </c>
      <c r="H932">
        <v>0.2</v>
      </c>
      <c r="I932" t="str">
        <f>VLOOKUP(C932,[1]Sheet!$A:$D,3,FALSE)</f>
        <v>West</v>
      </c>
      <c r="J932" t="str">
        <f>VLOOKUP(C932,[1]Sheet!$A:$D,4,FALSE)</f>
        <v>Corporate</v>
      </c>
      <c r="K932">
        <f t="shared" si="14"/>
        <v>0.33852807026765014</v>
      </c>
    </row>
    <row r="933" spans="1:11" x14ac:dyDescent="0.25">
      <c r="A933" t="s">
        <v>1381</v>
      </c>
      <c r="B933" t="s">
        <v>1382</v>
      </c>
      <c r="C933" t="s">
        <v>79</v>
      </c>
      <c r="D933" t="s">
        <v>22</v>
      </c>
      <c r="E933">
        <v>1833.76</v>
      </c>
      <c r="F933">
        <v>5</v>
      </c>
      <c r="G933">
        <v>556.13</v>
      </c>
      <c r="H933">
        <v>0.1</v>
      </c>
      <c r="I933" t="str">
        <f>VLOOKUP(C933,[1]Sheet!$A:$D,3,FALSE)</f>
        <v>East</v>
      </c>
      <c r="J933" t="str">
        <f>VLOOKUP(C933,[1]Sheet!$A:$D,4,FALSE)</f>
        <v>Corporate</v>
      </c>
      <c r="K933">
        <f t="shared" si="14"/>
        <v>0.30327305645231656</v>
      </c>
    </row>
    <row r="934" spans="1:11" x14ac:dyDescent="0.25">
      <c r="A934" t="s">
        <v>1383</v>
      </c>
      <c r="B934" t="s">
        <v>305</v>
      </c>
      <c r="C934" t="s">
        <v>224</v>
      </c>
      <c r="D934" t="s">
        <v>22</v>
      </c>
      <c r="E934">
        <v>1408.73</v>
      </c>
      <c r="F934">
        <v>7</v>
      </c>
      <c r="G934">
        <v>111.97</v>
      </c>
      <c r="H934">
        <v>0.15</v>
      </c>
      <c r="I934" t="str">
        <f>VLOOKUP(C934,[1]Sheet!$A:$D,3,FALSE)</f>
        <v>South</v>
      </c>
      <c r="J934" t="str">
        <f>VLOOKUP(C934,[1]Sheet!$A:$D,4,FALSE)</f>
        <v>Home Office</v>
      </c>
      <c r="K934">
        <f t="shared" si="14"/>
        <v>7.9482938533288847E-2</v>
      </c>
    </row>
    <row r="935" spans="1:11" x14ac:dyDescent="0.25">
      <c r="A935" t="s">
        <v>1384</v>
      </c>
      <c r="B935" t="s">
        <v>641</v>
      </c>
      <c r="C935" t="s">
        <v>466</v>
      </c>
      <c r="D935" t="s">
        <v>22</v>
      </c>
      <c r="E935">
        <v>3408.93</v>
      </c>
      <c r="F935">
        <v>4</v>
      </c>
      <c r="G935">
        <v>417.73</v>
      </c>
      <c r="H935">
        <v>0.2</v>
      </c>
      <c r="I935" t="str">
        <f>VLOOKUP(C935,[1]Sheet!$A:$D,3,FALSE)</f>
        <v>South</v>
      </c>
      <c r="J935" t="str">
        <f>VLOOKUP(C935,[1]Sheet!$A:$D,4,FALSE)</f>
        <v>Consumer</v>
      </c>
      <c r="K935">
        <f t="shared" si="14"/>
        <v>0.12253991721742601</v>
      </c>
    </row>
    <row r="936" spans="1:11" x14ac:dyDescent="0.25">
      <c r="A936" t="s">
        <v>1385</v>
      </c>
      <c r="B936" t="s">
        <v>1386</v>
      </c>
      <c r="C936" t="s">
        <v>208</v>
      </c>
      <c r="D936" t="s">
        <v>22</v>
      </c>
      <c r="E936">
        <v>3420.82</v>
      </c>
      <c r="F936">
        <v>1</v>
      </c>
      <c r="G936">
        <v>1190.32</v>
      </c>
      <c r="H936">
        <v>0</v>
      </c>
      <c r="I936" t="str">
        <f>VLOOKUP(C936,[1]Sheet!$A:$D,3,FALSE)</f>
        <v>South</v>
      </c>
      <c r="J936" t="str">
        <f>VLOOKUP(C936,[1]Sheet!$A:$D,4,FALSE)</f>
        <v>Consumer</v>
      </c>
      <c r="K936">
        <f t="shared" si="14"/>
        <v>0.34796335381575172</v>
      </c>
    </row>
    <row r="937" spans="1:11" x14ac:dyDescent="0.25">
      <c r="A937" t="s">
        <v>1387</v>
      </c>
      <c r="B937" t="s">
        <v>1388</v>
      </c>
      <c r="C937" t="s">
        <v>311</v>
      </c>
      <c r="D937" t="s">
        <v>22</v>
      </c>
      <c r="E937">
        <v>158.61000000000001</v>
      </c>
      <c r="F937">
        <v>8</v>
      </c>
      <c r="G937">
        <v>12.58</v>
      </c>
      <c r="H937">
        <v>0.1</v>
      </c>
      <c r="I937" t="str">
        <f>VLOOKUP(C937,[1]Sheet!$A:$D,3,FALSE)</f>
        <v>North</v>
      </c>
      <c r="J937" t="str">
        <f>VLOOKUP(C937,[1]Sheet!$A:$D,4,FALSE)</f>
        <v>Home Office</v>
      </c>
      <c r="K937">
        <f t="shared" si="14"/>
        <v>7.931404072883172E-2</v>
      </c>
    </row>
    <row r="938" spans="1:11" x14ac:dyDescent="0.25">
      <c r="A938" t="s">
        <v>1389</v>
      </c>
      <c r="B938" t="s">
        <v>905</v>
      </c>
      <c r="C938" t="s">
        <v>218</v>
      </c>
      <c r="D938" t="s">
        <v>15</v>
      </c>
      <c r="E938">
        <v>3653.73</v>
      </c>
      <c r="F938">
        <v>10</v>
      </c>
      <c r="G938">
        <v>458.79</v>
      </c>
      <c r="H938">
        <v>0</v>
      </c>
      <c r="I938" t="str">
        <f>VLOOKUP(C938,[1]Sheet!$A:$D,3,FALSE)</f>
        <v>South</v>
      </c>
      <c r="J938" t="str">
        <f>VLOOKUP(C938,[1]Sheet!$A:$D,4,FALSE)</f>
        <v>Corporate</v>
      </c>
      <c r="K938">
        <f t="shared" si="14"/>
        <v>0.12556757067435198</v>
      </c>
    </row>
    <row r="939" spans="1:11" x14ac:dyDescent="0.25">
      <c r="A939" t="s">
        <v>1390</v>
      </c>
      <c r="B939" t="s">
        <v>183</v>
      </c>
      <c r="C939" t="s">
        <v>25</v>
      </c>
      <c r="D939" t="s">
        <v>22</v>
      </c>
      <c r="E939">
        <v>4698.68</v>
      </c>
      <c r="F939">
        <v>2</v>
      </c>
      <c r="G939">
        <v>1160.49</v>
      </c>
      <c r="H939">
        <v>0</v>
      </c>
      <c r="I939" t="str">
        <f>VLOOKUP(C939,[1]Sheet!$A:$D,3,FALSE)</f>
        <v>South</v>
      </c>
      <c r="J939" t="str">
        <f>VLOOKUP(C939,[1]Sheet!$A:$D,4,FALSE)</f>
        <v>Consumer</v>
      </c>
      <c r="K939">
        <f t="shared" si="14"/>
        <v>0.24698213115172771</v>
      </c>
    </row>
    <row r="940" spans="1:11" x14ac:dyDescent="0.25">
      <c r="A940" t="s">
        <v>1391</v>
      </c>
      <c r="B940" t="s">
        <v>1208</v>
      </c>
      <c r="C940" t="s">
        <v>34</v>
      </c>
      <c r="D940" t="s">
        <v>22</v>
      </c>
      <c r="E940">
        <v>4296.5600000000004</v>
      </c>
      <c r="F940">
        <v>10</v>
      </c>
      <c r="G940">
        <v>382.27</v>
      </c>
      <c r="H940">
        <v>0.05</v>
      </c>
      <c r="I940" t="str">
        <f>VLOOKUP(C940,[1]Sheet!$A:$D,3,FALSE)</f>
        <v>West</v>
      </c>
      <c r="J940" t="str">
        <f>VLOOKUP(C940,[1]Sheet!$A:$D,4,FALSE)</f>
        <v>Home Office</v>
      </c>
      <c r="K940">
        <f t="shared" si="14"/>
        <v>8.8971176941553223E-2</v>
      </c>
    </row>
    <row r="941" spans="1:11" x14ac:dyDescent="0.25">
      <c r="A941" t="s">
        <v>1392</v>
      </c>
      <c r="B941" t="s">
        <v>20</v>
      </c>
      <c r="C941" t="s">
        <v>412</v>
      </c>
      <c r="D941" t="s">
        <v>22</v>
      </c>
      <c r="E941">
        <v>3508.7</v>
      </c>
      <c r="F941">
        <v>2</v>
      </c>
      <c r="G941">
        <v>442.1</v>
      </c>
      <c r="H941">
        <v>0.15</v>
      </c>
      <c r="I941" t="str">
        <f>VLOOKUP(C941,[1]Sheet!$A:$D,3,FALSE)</f>
        <v>West</v>
      </c>
      <c r="J941" t="str">
        <f>VLOOKUP(C941,[1]Sheet!$A:$D,4,FALSE)</f>
        <v>Corporate</v>
      </c>
      <c r="K941">
        <f t="shared" si="14"/>
        <v>0.12600108302220198</v>
      </c>
    </row>
    <row r="942" spans="1:11" x14ac:dyDescent="0.25">
      <c r="A942" t="s">
        <v>1393</v>
      </c>
      <c r="B942" t="s">
        <v>118</v>
      </c>
      <c r="C942" t="s">
        <v>176</v>
      </c>
      <c r="D942" t="s">
        <v>11</v>
      </c>
      <c r="E942">
        <v>3869.86</v>
      </c>
      <c r="F942">
        <v>5</v>
      </c>
      <c r="G942">
        <v>997.13</v>
      </c>
      <c r="H942">
        <v>0.05</v>
      </c>
      <c r="I942" t="str">
        <f>VLOOKUP(C942,[1]Sheet!$A:$D,3,FALSE)</f>
        <v>East</v>
      </c>
      <c r="J942" t="str">
        <f>VLOOKUP(C942,[1]Sheet!$A:$D,4,FALSE)</f>
        <v>Home Office</v>
      </c>
      <c r="K942">
        <f t="shared" si="14"/>
        <v>0.25766565198741037</v>
      </c>
    </row>
    <row r="943" spans="1:11" x14ac:dyDescent="0.25">
      <c r="A943" t="s">
        <v>1394</v>
      </c>
      <c r="B943" t="s">
        <v>1125</v>
      </c>
      <c r="C943" t="s">
        <v>453</v>
      </c>
      <c r="D943" t="s">
        <v>11</v>
      </c>
      <c r="E943">
        <v>462.59</v>
      </c>
      <c r="F943">
        <v>6</v>
      </c>
      <c r="G943">
        <v>130.97</v>
      </c>
      <c r="H943">
        <v>0</v>
      </c>
      <c r="I943" t="str">
        <f>VLOOKUP(C943,[1]Sheet!$A:$D,3,FALSE)</f>
        <v>North</v>
      </c>
      <c r="J943" t="str">
        <f>VLOOKUP(C943,[1]Sheet!$A:$D,4,FALSE)</f>
        <v>Home Office</v>
      </c>
      <c r="K943">
        <f t="shared" si="14"/>
        <v>0.28312328411768523</v>
      </c>
    </row>
    <row r="944" spans="1:11" x14ac:dyDescent="0.25">
      <c r="A944" t="s">
        <v>1395</v>
      </c>
      <c r="B944" t="s">
        <v>337</v>
      </c>
      <c r="C944" t="s">
        <v>40</v>
      </c>
      <c r="D944" t="s">
        <v>15</v>
      </c>
      <c r="E944">
        <v>4782.47</v>
      </c>
      <c r="F944">
        <v>8</v>
      </c>
      <c r="G944">
        <v>618.85</v>
      </c>
      <c r="H944">
        <v>0.05</v>
      </c>
      <c r="I944" t="str">
        <f>VLOOKUP(C944,[1]Sheet!$A:$D,3,FALSE)</f>
        <v>East</v>
      </c>
      <c r="J944" t="str">
        <f>VLOOKUP(C944,[1]Sheet!$A:$D,4,FALSE)</f>
        <v>Corporate</v>
      </c>
      <c r="K944">
        <f t="shared" si="14"/>
        <v>0.12939966168109784</v>
      </c>
    </row>
    <row r="945" spans="1:11" x14ac:dyDescent="0.25">
      <c r="A945" t="s">
        <v>1396</v>
      </c>
      <c r="B945" t="s">
        <v>24</v>
      </c>
      <c r="C945" t="s">
        <v>124</v>
      </c>
      <c r="D945" t="s">
        <v>15</v>
      </c>
      <c r="E945">
        <v>2023.91</v>
      </c>
      <c r="F945">
        <v>9</v>
      </c>
      <c r="G945">
        <v>493.12</v>
      </c>
      <c r="H945">
        <v>0.15</v>
      </c>
      <c r="I945" t="str">
        <f>VLOOKUP(C945,[1]Sheet!$A:$D,3,FALSE)</f>
        <v>North</v>
      </c>
      <c r="J945" t="str">
        <f>VLOOKUP(C945,[1]Sheet!$A:$D,4,FALSE)</f>
        <v>Home Office</v>
      </c>
      <c r="K945">
        <f t="shared" si="14"/>
        <v>0.24364719775088811</v>
      </c>
    </row>
    <row r="946" spans="1:11" x14ac:dyDescent="0.25">
      <c r="A946" t="s">
        <v>1397</v>
      </c>
      <c r="B946" t="s">
        <v>323</v>
      </c>
      <c r="C946" t="s">
        <v>37</v>
      </c>
      <c r="D946" t="s">
        <v>22</v>
      </c>
      <c r="E946">
        <v>3108.43</v>
      </c>
      <c r="F946">
        <v>5</v>
      </c>
      <c r="G946">
        <v>254.5</v>
      </c>
      <c r="H946">
        <v>0</v>
      </c>
      <c r="I946" t="str">
        <f>VLOOKUP(C946,[1]Sheet!$A:$D,3,FALSE)</f>
        <v>North</v>
      </c>
      <c r="J946" t="str">
        <f>VLOOKUP(C946,[1]Sheet!$A:$D,4,FALSE)</f>
        <v>Consumer</v>
      </c>
      <c r="K946">
        <f t="shared" si="14"/>
        <v>8.1874129383643843E-2</v>
      </c>
    </row>
    <row r="947" spans="1:11" x14ac:dyDescent="0.25">
      <c r="A947" t="s">
        <v>1398</v>
      </c>
      <c r="B947" t="s">
        <v>474</v>
      </c>
      <c r="C947" t="s">
        <v>484</v>
      </c>
      <c r="D947" t="s">
        <v>11</v>
      </c>
      <c r="E947">
        <v>457.31</v>
      </c>
      <c r="F947">
        <v>1</v>
      </c>
      <c r="G947">
        <v>101.25</v>
      </c>
      <c r="H947">
        <v>0.15</v>
      </c>
      <c r="I947" t="str">
        <f>VLOOKUP(C947,[1]Sheet!$A:$D,3,FALSE)</f>
        <v>North</v>
      </c>
      <c r="J947" t="str">
        <f>VLOOKUP(C947,[1]Sheet!$A:$D,4,FALSE)</f>
        <v>Home Office</v>
      </c>
      <c r="K947">
        <f t="shared" si="14"/>
        <v>0.22140342437296365</v>
      </c>
    </row>
    <row r="948" spans="1:11" x14ac:dyDescent="0.25">
      <c r="A948" t="s">
        <v>1399</v>
      </c>
      <c r="B948" t="s">
        <v>99</v>
      </c>
      <c r="C948" t="s">
        <v>43</v>
      </c>
      <c r="D948" t="s">
        <v>22</v>
      </c>
      <c r="E948">
        <v>3299.04</v>
      </c>
      <c r="F948">
        <v>7</v>
      </c>
      <c r="G948">
        <v>165.81</v>
      </c>
      <c r="H948">
        <v>0.1</v>
      </c>
      <c r="I948" t="str">
        <f>VLOOKUP(C948,[1]Sheet!$A:$D,3,FALSE)</f>
        <v>East</v>
      </c>
      <c r="J948" t="str">
        <f>VLOOKUP(C948,[1]Sheet!$A:$D,4,FALSE)</f>
        <v>Corporate</v>
      </c>
      <c r="K948">
        <f t="shared" si="14"/>
        <v>5.0260075658373343E-2</v>
      </c>
    </row>
    <row r="949" spans="1:11" x14ac:dyDescent="0.25">
      <c r="A949" t="s">
        <v>1400</v>
      </c>
      <c r="B949" t="s">
        <v>1136</v>
      </c>
      <c r="C949" t="s">
        <v>43</v>
      </c>
      <c r="D949" t="s">
        <v>15</v>
      </c>
      <c r="E949">
        <v>3530.27</v>
      </c>
      <c r="F949">
        <v>9</v>
      </c>
      <c r="G949">
        <v>1134.58</v>
      </c>
      <c r="H949">
        <v>0.15</v>
      </c>
      <c r="I949" t="str">
        <f>VLOOKUP(C949,[1]Sheet!$A:$D,3,FALSE)</f>
        <v>East</v>
      </c>
      <c r="J949" t="str">
        <f>VLOOKUP(C949,[1]Sheet!$A:$D,4,FALSE)</f>
        <v>Corporate</v>
      </c>
      <c r="K949">
        <f t="shared" si="14"/>
        <v>0.32138618292651833</v>
      </c>
    </row>
    <row r="950" spans="1:11" x14ac:dyDescent="0.25">
      <c r="A950" t="s">
        <v>1401</v>
      </c>
      <c r="B950" t="s">
        <v>289</v>
      </c>
      <c r="C950" t="s">
        <v>238</v>
      </c>
      <c r="D950" t="s">
        <v>22</v>
      </c>
      <c r="E950">
        <v>2236.6799999999998</v>
      </c>
      <c r="F950">
        <v>4</v>
      </c>
      <c r="G950">
        <v>678.19</v>
      </c>
      <c r="H950">
        <v>0</v>
      </c>
      <c r="I950" t="str">
        <f>VLOOKUP(C950,[1]Sheet!$A:$D,3,FALSE)</f>
        <v>North</v>
      </c>
      <c r="J950" t="str">
        <f>VLOOKUP(C950,[1]Sheet!$A:$D,4,FALSE)</f>
        <v>Corporate</v>
      </c>
      <c r="K950">
        <f t="shared" si="14"/>
        <v>0.30321279753920993</v>
      </c>
    </row>
    <row r="951" spans="1:11" x14ac:dyDescent="0.25">
      <c r="A951" t="s">
        <v>1402</v>
      </c>
      <c r="B951" t="s">
        <v>343</v>
      </c>
      <c r="C951" t="s">
        <v>301</v>
      </c>
      <c r="D951" t="s">
        <v>15</v>
      </c>
      <c r="E951">
        <v>4775.3599999999997</v>
      </c>
      <c r="F951">
        <v>10</v>
      </c>
      <c r="G951">
        <v>1410.61</v>
      </c>
      <c r="H951">
        <v>0.2</v>
      </c>
      <c r="I951" t="str">
        <f>VLOOKUP(C951,[1]Sheet!$A:$D,3,FALSE)</f>
        <v>West</v>
      </c>
      <c r="J951" t="str">
        <f>VLOOKUP(C951,[1]Sheet!$A:$D,4,FALSE)</f>
        <v>Consumer</v>
      </c>
      <c r="K951">
        <f t="shared" si="14"/>
        <v>0.29539343630637271</v>
      </c>
    </row>
    <row r="952" spans="1:11" x14ac:dyDescent="0.25">
      <c r="A952" t="s">
        <v>1403</v>
      </c>
      <c r="B952" t="s">
        <v>545</v>
      </c>
      <c r="C952" t="s">
        <v>91</v>
      </c>
      <c r="D952" t="s">
        <v>22</v>
      </c>
      <c r="E952">
        <v>1733.85</v>
      </c>
      <c r="F952">
        <v>2</v>
      </c>
      <c r="G952">
        <v>244.21</v>
      </c>
      <c r="H952">
        <v>0.1</v>
      </c>
      <c r="I952" t="str">
        <f>VLOOKUP(C952,[1]Sheet!$A:$D,3,FALSE)</f>
        <v>East</v>
      </c>
      <c r="J952" t="str">
        <f>VLOOKUP(C952,[1]Sheet!$A:$D,4,FALSE)</f>
        <v>Consumer</v>
      </c>
      <c r="K952">
        <f t="shared" si="14"/>
        <v>0.14084840095740694</v>
      </c>
    </row>
    <row r="953" spans="1:11" x14ac:dyDescent="0.25">
      <c r="A953" t="s">
        <v>1404</v>
      </c>
      <c r="B953" t="s">
        <v>197</v>
      </c>
      <c r="C953" t="s">
        <v>28</v>
      </c>
      <c r="D953" t="s">
        <v>11</v>
      </c>
      <c r="E953">
        <v>4281.38</v>
      </c>
      <c r="F953">
        <v>4</v>
      </c>
      <c r="G953">
        <v>650.85</v>
      </c>
      <c r="H953">
        <v>0.05</v>
      </c>
      <c r="I953" t="str">
        <f>VLOOKUP(C953,[1]Sheet!$A:$D,3,FALSE)</f>
        <v>East</v>
      </c>
      <c r="J953" t="str">
        <f>VLOOKUP(C953,[1]Sheet!$A:$D,4,FALSE)</f>
        <v>Consumer</v>
      </c>
      <c r="K953">
        <f t="shared" si="14"/>
        <v>0.1520187416206924</v>
      </c>
    </row>
    <row r="954" spans="1:11" x14ac:dyDescent="0.25">
      <c r="A954" t="s">
        <v>1405</v>
      </c>
      <c r="B954" t="s">
        <v>363</v>
      </c>
      <c r="C954" t="s">
        <v>221</v>
      </c>
      <c r="D954" t="s">
        <v>11</v>
      </c>
      <c r="E954">
        <v>292.72000000000003</v>
      </c>
      <c r="F954">
        <v>7</v>
      </c>
      <c r="G954">
        <v>48.37</v>
      </c>
      <c r="H954">
        <v>0</v>
      </c>
      <c r="I954" t="str">
        <f>VLOOKUP(C954,[1]Sheet!$A:$D,3,FALSE)</f>
        <v>South</v>
      </c>
      <c r="J954" t="str">
        <f>VLOOKUP(C954,[1]Sheet!$A:$D,4,FALSE)</f>
        <v>Corporate</v>
      </c>
      <c r="K954">
        <f t="shared" si="14"/>
        <v>0.16524323585679146</v>
      </c>
    </row>
    <row r="955" spans="1:11" x14ac:dyDescent="0.25">
      <c r="A955" t="s">
        <v>1406</v>
      </c>
      <c r="B955" t="s">
        <v>440</v>
      </c>
      <c r="C955" t="s">
        <v>10</v>
      </c>
      <c r="D955" t="s">
        <v>11</v>
      </c>
      <c r="E955">
        <v>3475.33</v>
      </c>
      <c r="F955">
        <v>4</v>
      </c>
      <c r="G955">
        <v>680.99</v>
      </c>
      <c r="H955">
        <v>0.05</v>
      </c>
      <c r="I955" t="str">
        <f>VLOOKUP(C955,[1]Sheet!$A:$D,3,FALSE)</f>
        <v>North</v>
      </c>
      <c r="J955" t="str">
        <f>VLOOKUP(C955,[1]Sheet!$A:$D,4,FALSE)</f>
        <v>Consumer</v>
      </c>
      <c r="K955">
        <f t="shared" si="14"/>
        <v>0.19594973714726371</v>
      </c>
    </row>
    <row r="956" spans="1:11" x14ac:dyDescent="0.25">
      <c r="A956" t="s">
        <v>1407</v>
      </c>
      <c r="B956" t="s">
        <v>787</v>
      </c>
      <c r="C956" t="s">
        <v>484</v>
      </c>
      <c r="D956" t="s">
        <v>15</v>
      </c>
      <c r="E956">
        <v>1046.1500000000001</v>
      </c>
      <c r="F956">
        <v>8</v>
      </c>
      <c r="G956">
        <v>278.19</v>
      </c>
      <c r="H956">
        <v>0.15</v>
      </c>
      <c r="I956" t="str">
        <f>VLOOKUP(C956,[1]Sheet!$A:$D,3,FALSE)</f>
        <v>North</v>
      </c>
      <c r="J956" t="str">
        <f>VLOOKUP(C956,[1]Sheet!$A:$D,4,FALSE)</f>
        <v>Home Office</v>
      </c>
      <c r="K956">
        <f t="shared" si="14"/>
        <v>0.26591788940400513</v>
      </c>
    </row>
    <row r="957" spans="1:11" x14ac:dyDescent="0.25">
      <c r="A957" t="s">
        <v>1408</v>
      </c>
      <c r="B957" t="s">
        <v>1290</v>
      </c>
      <c r="C957" t="s">
        <v>311</v>
      </c>
      <c r="D957" t="s">
        <v>22</v>
      </c>
      <c r="E957">
        <v>3984.42</v>
      </c>
      <c r="F957">
        <v>8</v>
      </c>
      <c r="G957">
        <v>968.3</v>
      </c>
      <c r="H957">
        <v>0</v>
      </c>
      <c r="I957" t="str">
        <f>VLOOKUP(C957,[1]Sheet!$A:$D,3,FALSE)</f>
        <v>North</v>
      </c>
      <c r="J957" t="str">
        <f>VLOOKUP(C957,[1]Sheet!$A:$D,4,FALSE)</f>
        <v>Home Office</v>
      </c>
      <c r="K957">
        <f t="shared" si="14"/>
        <v>0.24302156901129898</v>
      </c>
    </row>
    <row r="958" spans="1:11" x14ac:dyDescent="0.25">
      <c r="A958" t="s">
        <v>1409</v>
      </c>
      <c r="B958" t="s">
        <v>87</v>
      </c>
      <c r="C958" t="s">
        <v>484</v>
      </c>
      <c r="D958" t="s">
        <v>11</v>
      </c>
      <c r="E958">
        <v>1762.5</v>
      </c>
      <c r="F958">
        <v>2</v>
      </c>
      <c r="G958">
        <v>266.69</v>
      </c>
      <c r="H958">
        <v>0.05</v>
      </c>
      <c r="I958" t="str">
        <f>VLOOKUP(C958,[1]Sheet!$A:$D,3,FALSE)</f>
        <v>North</v>
      </c>
      <c r="J958" t="str">
        <f>VLOOKUP(C958,[1]Sheet!$A:$D,4,FALSE)</f>
        <v>Home Office</v>
      </c>
      <c r="K958">
        <f t="shared" si="14"/>
        <v>0.15131347517730495</v>
      </c>
    </row>
    <row r="959" spans="1:11" x14ac:dyDescent="0.25">
      <c r="A959" t="s">
        <v>1410</v>
      </c>
      <c r="B959" t="s">
        <v>335</v>
      </c>
      <c r="C959" t="s">
        <v>271</v>
      </c>
      <c r="D959" t="s">
        <v>22</v>
      </c>
      <c r="E959">
        <v>3369.85</v>
      </c>
      <c r="F959">
        <v>3</v>
      </c>
      <c r="G959">
        <v>631.88</v>
      </c>
      <c r="H959">
        <v>0.2</v>
      </c>
      <c r="I959" t="str">
        <f>VLOOKUP(C959,[1]Sheet!$A:$D,3,FALSE)</f>
        <v>South</v>
      </c>
      <c r="J959" t="str">
        <f>VLOOKUP(C959,[1]Sheet!$A:$D,4,FALSE)</f>
        <v>Home Office</v>
      </c>
      <c r="K959">
        <f t="shared" si="14"/>
        <v>0.18750982981438344</v>
      </c>
    </row>
    <row r="960" spans="1:11" x14ac:dyDescent="0.25">
      <c r="A960" t="s">
        <v>1411</v>
      </c>
      <c r="B960" t="s">
        <v>257</v>
      </c>
      <c r="C960" t="s">
        <v>298</v>
      </c>
      <c r="D960" t="s">
        <v>11</v>
      </c>
      <c r="E960">
        <v>4631.6000000000004</v>
      </c>
      <c r="F960">
        <v>1</v>
      </c>
      <c r="G960">
        <v>282.82</v>
      </c>
      <c r="H960">
        <v>0.15</v>
      </c>
      <c r="I960" t="str">
        <f>VLOOKUP(C960,[1]Sheet!$A:$D,3,FALSE)</f>
        <v>North</v>
      </c>
      <c r="J960" t="str">
        <f>VLOOKUP(C960,[1]Sheet!$A:$D,4,FALSE)</f>
        <v>Consumer</v>
      </c>
      <c r="K960">
        <f t="shared" si="14"/>
        <v>6.1063131531220304E-2</v>
      </c>
    </row>
    <row r="961" spans="1:11" x14ac:dyDescent="0.25">
      <c r="A961" t="s">
        <v>1412</v>
      </c>
      <c r="B961" t="s">
        <v>982</v>
      </c>
      <c r="C961" t="s">
        <v>94</v>
      </c>
      <c r="D961" t="s">
        <v>15</v>
      </c>
      <c r="E961">
        <v>324.43</v>
      </c>
      <c r="F961">
        <v>3</v>
      </c>
      <c r="G961">
        <v>84.48</v>
      </c>
      <c r="H961">
        <v>0</v>
      </c>
      <c r="I961" t="str">
        <f>VLOOKUP(C961,[1]Sheet!$A:$D,3,FALSE)</f>
        <v>East</v>
      </c>
      <c r="J961" t="str">
        <f>VLOOKUP(C961,[1]Sheet!$A:$D,4,FALSE)</f>
        <v>Corporate</v>
      </c>
      <c r="K961">
        <f t="shared" si="14"/>
        <v>0.26039515457879975</v>
      </c>
    </row>
    <row r="962" spans="1:11" x14ac:dyDescent="0.25">
      <c r="A962" t="s">
        <v>1413</v>
      </c>
      <c r="B962" t="s">
        <v>1382</v>
      </c>
      <c r="C962" t="s">
        <v>260</v>
      </c>
      <c r="D962" t="s">
        <v>15</v>
      </c>
      <c r="E962">
        <v>4121.62</v>
      </c>
      <c r="F962">
        <v>10</v>
      </c>
      <c r="G962">
        <v>326.38</v>
      </c>
      <c r="H962">
        <v>0</v>
      </c>
      <c r="I962" t="str">
        <f>VLOOKUP(C962,[1]Sheet!$A:$D,3,FALSE)</f>
        <v>West</v>
      </c>
      <c r="J962" t="str">
        <f>VLOOKUP(C962,[1]Sheet!$A:$D,4,FALSE)</f>
        <v>Corporate</v>
      </c>
      <c r="K962">
        <f t="shared" si="14"/>
        <v>7.9187309844187481E-2</v>
      </c>
    </row>
    <row r="963" spans="1:11" x14ac:dyDescent="0.25">
      <c r="A963" t="s">
        <v>1414</v>
      </c>
      <c r="B963" t="s">
        <v>794</v>
      </c>
      <c r="C963" t="s">
        <v>198</v>
      </c>
      <c r="D963" t="s">
        <v>15</v>
      </c>
      <c r="E963">
        <v>659.48</v>
      </c>
      <c r="F963">
        <v>2</v>
      </c>
      <c r="G963">
        <v>150.69</v>
      </c>
      <c r="H963">
        <v>0.05</v>
      </c>
      <c r="I963" t="str">
        <f>VLOOKUP(C963,[1]Sheet!$A:$D,3,FALSE)</f>
        <v>South</v>
      </c>
      <c r="J963" t="str">
        <f>VLOOKUP(C963,[1]Sheet!$A:$D,4,FALSE)</f>
        <v>Home Office</v>
      </c>
      <c r="K963">
        <f t="shared" ref="K963:K1001" si="15">G963/E963</f>
        <v>0.22849821071146964</v>
      </c>
    </row>
    <row r="964" spans="1:11" x14ac:dyDescent="0.25">
      <c r="A964" t="s">
        <v>1415</v>
      </c>
      <c r="B964" t="s">
        <v>335</v>
      </c>
      <c r="C964" t="s">
        <v>390</v>
      </c>
      <c r="D964" t="s">
        <v>11</v>
      </c>
      <c r="E964">
        <v>1752.98</v>
      </c>
      <c r="F964">
        <v>6</v>
      </c>
      <c r="G964">
        <v>527.24</v>
      </c>
      <c r="H964">
        <v>0</v>
      </c>
      <c r="I964" t="str">
        <f>VLOOKUP(C964,[1]Sheet!$A:$D,3,FALSE)</f>
        <v>West</v>
      </c>
      <c r="J964" t="str">
        <f>VLOOKUP(C964,[1]Sheet!$A:$D,4,FALSE)</f>
        <v>Corporate</v>
      </c>
      <c r="K964">
        <f t="shared" si="15"/>
        <v>0.30076783534324408</v>
      </c>
    </row>
    <row r="965" spans="1:11" x14ac:dyDescent="0.25">
      <c r="A965" t="s">
        <v>1416</v>
      </c>
      <c r="B965" t="s">
        <v>61</v>
      </c>
      <c r="C965" t="s">
        <v>76</v>
      </c>
      <c r="D965" t="s">
        <v>15</v>
      </c>
      <c r="E965">
        <v>2922.24</v>
      </c>
      <c r="F965">
        <v>10</v>
      </c>
      <c r="G965">
        <v>266.5</v>
      </c>
      <c r="H965">
        <v>0.05</v>
      </c>
      <c r="I965" t="str">
        <f>VLOOKUP(C965,[1]Sheet!$A:$D,3,FALSE)</f>
        <v>West</v>
      </c>
      <c r="J965" t="str">
        <f>VLOOKUP(C965,[1]Sheet!$A:$D,4,FALSE)</f>
        <v>Home Office</v>
      </c>
      <c r="K965">
        <f t="shared" si="15"/>
        <v>9.1197163819535701E-2</v>
      </c>
    </row>
    <row r="966" spans="1:11" x14ac:dyDescent="0.25">
      <c r="A966" t="s">
        <v>1417</v>
      </c>
      <c r="B966" t="s">
        <v>358</v>
      </c>
      <c r="C966" t="s">
        <v>456</v>
      </c>
      <c r="D966" t="s">
        <v>15</v>
      </c>
      <c r="E966">
        <v>409.79</v>
      </c>
      <c r="F966">
        <v>6</v>
      </c>
      <c r="G966">
        <v>54.16</v>
      </c>
      <c r="H966">
        <v>0.2</v>
      </c>
      <c r="I966" t="str">
        <f>VLOOKUP(C966,[1]Sheet!$A:$D,3,FALSE)</f>
        <v>East</v>
      </c>
      <c r="J966" t="str">
        <f>VLOOKUP(C966,[1]Sheet!$A:$D,4,FALSE)</f>
        <v>Consumer</v>
      </c>
      <c r="K966">
        <f t="shared" si="15"/>
        <v>0.13216525537470411</v>
      </c>
    </row>
    <row r="967" spans="1:11" x14ac:dyDescent="0.25">
      <c r="A967" t="s">
        <v>1418</v>
      </c>
      <c r="B967" t="s">
        <v>269</v>
      </c>
      <c r="C967" t="s">
        <v>187</v>
      </c>
      <c r="D967" t="s">
        <v>15</v>
      </c>
      <c r="E967">
        <v>2249.44</v>
      </c>
      <c r="F967">
        <v>2</v>
      </c>
      <c r="G967">
        <v>737.15</v>
      </c>
      <c r="H967">
        <v>0.2</v>
      </c>
      <c r="I967" t="str">
        <f>VLOOKUP(C967,[1]Sheet!$A:$D,3,FALSE)</f>
        <v>West</v>
      </c>
      <c r="J967" t="str">
        <f>VLOOKUP(C967,[1]Sheet!$A:$D,4,FALSE)</f>
        <v>Home Office</v>
      </c>
      <c r="K967">
        <f t="shared" si="15"/>
        <v>0.32770378405291983</v>
      </c>
    </row>
    <row r="968" spans="1:11" x14ac:dyDescent="0.25">
      <c r="A968" t="s">
        <v>1419</v>
      </c>
      <c r="B968" t="s">
        <v>309</v>
      </c>
      <c r="C968" t="s">
        <v>162</v>
      </c>
      <c r="D968" t="s">
        <v>15</v>
      </c>
      <c r="E968">
        <v>3910.54</v>
      </c>
      <c r="F968">
        <v>1</v>
      </c>
      <c r="G968">
        <v>213.86</v>
      </c>
      <c r="H968">
        <v>0</v>
      </c>
      <c r="I968" t="str">
        <f>VLOOKUP(C968,[1]Sheet!$A:$D,3,FALSE)</f>
        <v>West</v>
      </c>
      <c r="J968" t="str">
        <f>VLOOKUP(C968,[1]Sheet!$A:$D,4,FALSE)</f>
        <v>Corporate</v>
      </c>
      <c r="K968">
        <f t="shared" si="15"/>
        <v>5.4688099341778887E-2</v>
      </c>
    </row>
    <row r="969" spans="1:11" x14ac:dyDescent="0.25">
      <c r="A969" t="s">
        <v>1420</v>
      </c>
      <c r="B969" t="s">
        <v>787</v>
      </c>
      <c r="C969" t="s">
        <v>201</v>
      </c>
      <c r="D969" t="s">
        <v>11</v>
      </c>
      <c r="E969">
        <v>4638.07</v>
      </c>
      <c r="F969">
        <v>7</v>
      </c>
      <c r="G969">
        <v>1215.28</v>
      </c>
      <c r="H969">
        <v>0.15</v>
      </c>
      <c r="I969" t="str">
        <f>VLOOKUP(C969,[1]Sheet!$A:$D,3,FALSE)</f>
        <v>North</v>
      </c>
      <c r="J969" t="str">
        <f>VLOOKUP(C969,[1]Sheet!$A:$D,4,FALSE)</f>
        <v>Corporate</v>
      </c>
      <c r="K969">
        <f t="shared" si="15"/>
        <v>0.26202278102745324</v>
      </c>
    </row>
    <row r="970" spans="1:11" x14ac:dyDescent="0.25">
      <c r="A970" t="s">
        <v>1421</v>
      </c>
      <c r="B970" t="s">
        <v>200</v>
      </c>
      <c r="C970" t="s">
        <v>215</v>
      </c>
      <c r="D970" t="s">
        <v>22</v>
      </c>
      <c r="E970">
        <v>721.77</v>
      </c>
      <c r="F970">
        <v>8</v>
      </c>
      <c r="G970">
        <v>67.069999999999993</v>
      </c>
      <c r="H970">
        <v>0.15</v>
      </c>
      <c r="I970" t="str">
        <f>VLOOKUP(C970,[1]Sheet!$A:$D,3,FALSE)</f>
        <v>South</v>
      </c>
      <c r="J970" t="str">
        <f>VLOOKUP(C970,[1]Sheet!$A:$D,4,FALSE)</f>
        <v>Corporate</v>
      </c>
      <c r="K970">
        <f t="shared" si="15"/>
        <v>9.2924338778281157E-2</v>
      </c>
    </row>
    <row r="971" spans="1:11" x14ac:dyDescent="0.25">
      <c r="A971" t="s">
        <v>1422</v>
      </c>
      <c r="B971" t="s">
        <v>99</v>
      </c>
      <c r="C971" t="s">
        <v>14</v>
      </c>
      <c r="D971" t="s">
        <v>22</v>
      </c>
      <c r="E971">
        <v>4696.6400000000003</v>
      </c>
      <c r="F971">
        <v>3</v>
      </c>
      <c r="G971">
        <v>1095.08</v>
      </c>
      <c r="H971">
        <v>0.15</v>
      </c>
      <c r="I971" t="str">
        <f>VLOOKUP(C971,[1]Sheet!$A:$D,3,FALSE)</f>
        <v>North</v>
      </c>
      <c r="J971" t="str">
        <f>VLOOKUP(C971,[1]Sheet!$A:$D,4,FALSE)</f>
        <v>Corporate</v>
      </c>
      <c r="K971">
        <f t="shared" si="15"/>
        <v>0.23316243101451248</v>
      </c>
    </row>
    <row r="972" spans="1:11" x14ac:dyDescent="0.25">
      <c r="A972" t="s">
        <v>1423</v>
      </c>
      <c r="B972" t="s">
        <v>781</v>
      </c>
      <c r="C972" t="s">
        <v>124</v>
      </c>
      <c r="D972" t="s">
        <v>11</v>
      </c>
      <c r="E972">
        <v>4756.46</v>
      </c>
      <c r="F972">
        <v>7</v>
      </c>
      <c r="G972">
        <v>1132.79</v>
      </c>
      <c r="H972">
        <v>0</v>
      </c>
      <c r="I972" t="str">
        <f>VLOOKUP(C972,[1]Sheet!$A:$D,3,FALSE)</f>
        <v>North</v>
      </c>
      <c r="J972" t="str">
        <f>VLOOKUP(C972,[1]Sheet!$A:$D,4,FALSE)</f>
        <v>Home Office</v>
      </c>
      <c r="K972">
        <f t="shared" si="15"/>
        <v>0.23815821009742538</v>
      </c>
    </row>
    <row r="973" spans="1:11" x14ac:dyDescent="0.25">
      <c r="A973" t="s">
        <v>1424</v>
      </c>
      <c r="B973" t="s">
        <v>656</v>
      </c>
      <c r="C973" t="s">
        <v>243</v>
      </c>
      <c r="D973" t="s">
        <v>15</v>
      </c>
      <c r="E973">
        <v>1254.6300000000001</v>
      </c>
      <c r="F973">
        <v>10</v>
      </c>
      <c r="G973">
        <v>106.96</v>
      </c>
      <c r="H973">
        <v>0.1</v>
      </c>
      <c r="I973" t="str">
        <f>VLOOKUP(C973,[1]Sheet!$A:$D,3,FALSE)</f>
        <v>North</v>
      </c>
      <c r="J973" t="str">
        <f>VLOOKUP(C973,[1]Sheet!$A:$D,4,FALSE)</f>
        <v>Home Office</v>
      </c>
      <c r="K973">
        <f t="shared" si="15"/>
        <v>8.5252225755800506E-2</v>
      </c>
    </row>
    <row r="974" spans="1:11" x14ac:dyDescent="0.25">
      <c r="A974" t="s">
        <v>1425</v>
      </c>
      <c r="B974" t="s">
        <v>205</v>
      </c>
      <c r="C974" t="s">
        <v>227</v>
      </c>
      <c r="D974" t="s">
        <v>22</v>
      </c>
      <c r="E974">
        <v>4935.2299999999996</v>
      </c>
      <c r="F974">
        <v>4</v>
      </c>
      <c r="G974">
        <v>998.21</v>
      </c>
      <c r="H974">
        <v>0.1</v>
      </c>
      <c r="I974" t="str">
        <f>VLOOKUP(C974,[1]Sheet!$A:$D,3,FALSE)</f>
        <v>South</v>
      </c>
      <c r="J974" t="str">
        <f>VLOOKUP(C974,[1]Sheet!$A:$D,4,FALSE)</f>
        <v>Home Office</v>
      </c>
      <c r="K974">
        <f t="shared" si="15"/>
        <v>0.20226210328596644</v>
      </c>
    </row>
    <row r="975" spans="1:11" x14ac:dyDescent="0.25">
      <c r="A975" t="s">
        <v>1426</v>
      </c>
      <c r="B975" t="s">
        <v>461</v>
      </c>
      <c r="C975" t="s">
        <v>173</v>
      </c>
      <c r="D975" t="s">
        <v>11</v>
      </c>
      <c r="E975">
        <v>1049.22</v>
      </c>
      <c r="F975">
        <v>8</v>
      </c>
      <c r="G975">
        <v>303.20999999999998</v>
      </c>
      <c r="H975">
        <v>0.05</v>
      </c>
      <c r="I975" t="str">
        <f>VLOOKUP(C975,[1]Sheet!$A:$D,3,FALSE)</f>
        <v>North</v>
      </c>
      <c r="J975" t="str">
        <f>VLOOKUP(C975,[1]Sheet!$A:$D,4,FALSE)</f>
        <v>Consumer</v>
      </c>
      <c r="K975">
        <f t="shared" si="15"/>
        <v>0.28898610396294389</v>
      </c>
    </row>
    <row r="976" spans="1:11" x14ac:dyDescent="0.25">
      <c r="A976" t="s">
        <v>1427</v>
      </c>
      <c r="B976" t="s">
        <v>524</v>
      </c>
      <c r="C976" t="s">
        <v>82</v>
      </c>
      <c r="D976" t="s">
        <v>11</v>
      </c>
      <c r="E976">
        <v>3383.7</v>
      </c>
      <c r="F976">
        <v>5</v>
      </c>
      <c r="G976">
        <v>212.95</v>
      </c>
      <c r="H976">
        <v>0.05</v>
      </c>
      <c r="I976" t="str">
        <f>VLOOKUP(C976,[1]Sheet!$A:$D,3,FALSE)</f>
        <v>East</v>
      </c>
      <c r="J976" t="str">
        <f>VLOOKUP(C976,[1]Sheet!$A:$D,4,FALSE)</f>
        <v>Consumer</v>
      </c>
      <c r="K976">
        <f t="shared" si="15"/>
        <v>6.2934066258829094E-2</v>
      </c>
    </row>
    <row r="977" spans="1:11" x14ac:dyDescent="0.25">
      <c r="A977" t="s">
        <v>1428</v>
      </c>
      <c r="B977" t="s">
        <v>172</v>
      </c>
      <c r="C977" t="s">
        <v>127</v>
      </c>
      <c r="D977" t="s">
        <v>15</v>
      </c>
      <c r="E977">
        <v>1331.77</v>
      </c>
      <c r="F977">
        <v>2</v>
      </c>
      <c r="G977">
        <v>313.02999999999997</v>
      </c>
      <c r="H977">
        <v>0</v>
      </c>
      <c r="I977" t="str">
        <f>VLOOKUP(C977,[1]Sheet!$A:$D,3,FALSE)</f>
        <v>South</v>
      </c>
      <c r="J977" t="str">
        <f>VLOOKUP(C977,[1]Sheet!$A:$D,4,FALSE)</f>
        <v>Consumer</v>
      </c>
      <c r="K977">
        <f t="shared" si="15"/>
        <v>0.2350480938900861</v>
      </c>
    </row>
    <row r="978" spans="1:11" x14ac:dyDescent="0.25">
      <c r="A978" t="s">
        <v>1429</v>
      </c>
      <c r="B978" t="s">
        <v>1373</v>
      </c>
      <c r="C978" t="s">
        <v>28</v>
      </c>
      <c r="D978" t="s">
        <v>22</v>
      </c>
      <c r="E978">
        <v>961.85</v>
      </c>
      <c r="F978">
        <v>2</v>
      </c>
      <c r="G978">
        <v>274.75</v>
      </c>
      <c r="H978">
        <v>0</v>
      </c>
      <c r="I978" t="str">
        <f>VLOOKUP(C978,[1]Sheet!$A:$D,3,FALSE)</f>
        <v>East</v>
      </c>
      <c r="J978" t="str">
        <f>VLOOKUP(C978,[1]Sheet!$A:$D,4,FALSE)</f>
        <v>Consumer</v>
      </c>
      <c r="K978">
        <f t="shared" si="15"/>
        <v>0.28564745022612675</v>
      </c>
    </row>
    <row r="979" spans="1:11" x14ac:dyDescent="0.25">
      <c r="A979" t="s">
        <v>1430</v>
      </c>
      <c r="B979" t="s">
        <v>1431</v>
      </c>
      <c r="C979" t="s">
        <v>14</v>
      </c>
      <c r="D979" t="s">
        <v>11</v>
      </c>
      <c r="E979">
        <v>3634.88</v>
      </c>
      <c r="F979">
        <v>4</v>
      </c>
      <c r="G979">
        <v>828.07</v>
      </c>
      <c r="H979">
        <v>0.1</v>
      </c>
      <c r="I979" t="str">
        <f>VLOOKUP(C979,[1]Sheet!$A:$D,3,FALSE)</f>
        <v>North</v>
      </c>
      <c r="J979" t="str">
        <f>VLOOKUP(C979,[1]Sheet!$A:$D,4,FALSE)</f>
        <v>Corporate</v>
      </c>
      <c r="K979">
        <f t="shared" si="15"/>
        <v>0.22781219737652963</v>
      </c>
    </row>
    <row r="980" spans="1:11" x14ac:dyDescent="0.25">
      <c r="A980" t="s">
        <v>1432</v>
      </c>
      <c r="B980" t="s">
        <v>30</v>
      </c>
      <c r="C980" t="s">
        <v>298</v>
      </c>
      <c r="D980" t="s">
        <v>15</v>
      </c>
      <c r="E980">
        <v>3916.98</v>
      </c>
      <c r="F980">
        <v>7</v>
      </c>
      <c r="G980">
        <v>579.09</v>
      </c>
      <c r="H980">
        <v>0.05</v>
      </c>
      <c r="I980" t="str">
        <f>VLOOKUP(C980,[1]Sheet!$A:$D,3,FALSE)</f>
        <v>North</v>
      </c>
      <c r="J980" t="str">
        <f>VLOOKUP(C980,[1]Sheet!$A:$D,4,FALSE)</f>
        <v>Consumer</v>
      </c>
      <c r="K980">
        <f t="shared" si="15"/>
        <v>0.14784093868235224</v>
      </c>
    </row>
    <row r="981" spans="1:11" x14ac:dyDescent="0.25">
      <c r="A981" t="s">
        <v>1433</v>
      </c>
      <c r="B981" t="s">
        <v>159</v>
      </c>
      <c r="C981" t="s">
        <v>162</v>
      </c>
      <c r="D981" t="s">
        <v>11</v>
      </c>
      <c r="E981">
        <v>4467.6899999999996</v>
      </c>
      <c r="F981">
        <v>1</v>
      </c>
      <c r="G981">
        <v>321.94</v>
      </c>
      <c r="H981">
        <v>0.15</v>
      </c>
      <c r="I981" t="str">
        <f>VLOOKUP(C981,[1]Sheet!$A:$D,3,FALSE)</f>
        <v>West</v>
      </c>
      <c r="J981" t="str">
        <f>VLOOKUP(C981,[1]Sheet!$A:$D,4,FALSE)</f>
        <v>Corporate</v>
      </c>
      <c r="K981">
        <f t="shared" si="15"/>
        <v>7.2059610223627876E-2</v>
      </c>
    </row>
    <row r="982" spans="1:11" x14ac:dyDescent="0.25">
      <c r="A982" t="s">
        <v>1434</v>
      </c>
      <c r="B982" t="s">
        <v>1215</v>
      </c>
      <c r="C982" t="s">
        <v>318</v>
      </c>
      <c r="D982" t="s">
        <v>11</v>
      </c>
      <c r="E982">
        <v>1159.21</v>
      </c>
      <c r="F982">
        <v>6</v>
      </c>
      <c r="G982">
        <v>269.89999999999998</v>
      </c>
      <c r="H982">
        <v>0.05</v>
      </c>
      <c r="I982" t="str">
        <f>VLOOKUP(C982,[1]Sheet!$A:$D,3,FALSE)</f>
        <v>West</v>
      </c>
      <c r="J982" t="str">
        <f>VLOOKUP(C982,[1]Sheet!$A:$D,4,FALSE)</f>
        <v>Consumer</v>
      </c>
      <c r="K982">
        <f t="shared" si="15"/>
        <v>0.23283097971894651</v>
      </c>
    </row>
    <row r="983" spans="1:11" x14ac:dyDescent="0.25">
      <c r="A983" t="s">
        <v>1435</v>
      </c>
      <c r="B983" t="s">
        <v>200</v>
      </c>
      <c r="C983" t="s">
        <v>102</v>
      </c>
      <c r="D983" t="s">
        <v>15</v>
      </c>
      <c r="E983">
        <v>3627.12</v>
      </c>
      <c r="F983">
        <v>6</v>
      </c>
      <c r="G983">
        <v>869.08</v>
      </c>
      <c r="H983">
        <v>0.05</v>
      </c>
      <c r="I983" t="str">
        <f>VLOOKUP(C983,[1]Sheet!$A:$D,3,FALSE)</f>
        <v>South</v>
      </c>
      <c r="J983" t="str">
        <f>VLOOKUP(C983,[1]Sheet!$A:$D,4,FALSE)</f>
        <v>Home Office</v>
      </c>
      <c r="K983">
        <f t="shared" si="15"/>
        <v>0.23960607865193323</v>
      </c>
    </row>
    <row r="984" spans="1:11" x14ac:dyDescent="0.25">
      <c r="A984" t="s">
        <v>1436</v>
      </c>
      <c r="B984" t="s">
        <v>1174</v>
      </c>
      <c r="C984" t="s">
        <v>484</v>
      </c>
      <c r="D984" t="s">
        <v>15</v>
      </c>
      <c r="E984">
        <v>3491.83</v>
      </c>
      <c r="F984">
        <v>8</v>
      </c>
      <c r="G984">
        <v>237.08</v>
      </c>
      <c r="H984">
        <v>0.15</v>
      </c>
      <c r="I984" t="str">
        <f>VLOOKUP(C984,[1]Sheet!$A:$D,3,FALSE)</f>
        <v>North</v>
      </c>
      <c r="J984" t="str">
        <f>VLOOKUP(C984,[1]Sheet!$A:$D,4,FALSE)</f>
        <v>Home Office</v>
      </c>
      <c r="K984">
        <f t="shared" si="15"/>
        <v>6.7895630657849898E-2</v>
      </c>
    </row>
    <row r="985" spans="1:11" x14ac:dyDescent="0.25">
      <c r="A985" t="s">
        <v>1437</v>
      </c>
      <c r="B985" t="s">
        <v>621</v>
      </c>
      <c r="C985" t="s">
        <v>138</v>
      </c>
      <c r="D985" t="s">
        <v>22</v>
      </c>
      <c r="E985">
        <v>938.89</v>
      </c>
      <c r="F985">
        <v>3</v>
      </c>
      <c r="G985">
        <v>143.72</v>
      </c>
      <c r="H985">
        <v>0.2</v>
      </c>
      <c r="I985" t="str">
        <f>VLOOKUP(C985,[1]Sheet!$A:$D,3,FALSE)</f>
        <v>West</v>
      </c>
      <c r="J985" t="str">
        <f>VLOOKUP(C985,[1]Sheet!$A:$D,4,FALSE)</f>
        <v>Home Office</v>
      </c>
      <c r="K985">
        <f t="shared" si="15"/>
        <v>0.15307437505991117</v>
      </c>
    </row>
    <row r="986" spans="1:11" x14ac:dyDescent="0.25">
      <c r="A986" t="s">
        <v>1438</v>
      </c>
      <c r="B986" t="s">
        <v>1439</v>
      </c>
      <c r="C986" t="s">
        <v>187</v>
      </c>
      <c r="D986" t="s">
        <v>15</v>
      </c>
      <c r="E986">
        <v>2932.8</v>
      </c>
      <c r="F986">
        <v>7</v>
      </c>
      <c r="G986">
        <v>632.98</v>
      </c>
      <c r="H986">
        <v>0.2</v>
      </c>
      <c r="I986" t="str">
        <f>VLOOKUP(C986,[1]Sheet!$A:$D,3,FALSE)</f>
        <v>West</v>
      </c>
      <c r="J986" t="str">
        <f>VLOOKUP(C986,[1]Sheet!$A:$D,4,FALSE)</f>
        <v>Home Office</v>
      </c>
      <c r="K986">
        <f t="shared" si="15"/>
        <v>0.21582787779596291</v>
      </c>
    </row>
    <row r="987" spans="1:11" x14ac:dyDescent="0.25">
      <c r="A987" t="s">
        <v>1440</v>
      </c>
      <c r="B987" t="s">
        <v>576</v>
      </c>
      <c r="C987" t="s">
        <v>382</v>
      </c>
      <c r="D987" t="s">
        <v>11</v>
      </c>
      <c r="E987">
        <v>4324.78</v>
      </c>
      <c r="F987">
        <v>5</v>
      </c>
      <c r="G987">
        <v>497.06</v>
      </c>
      <c r="H987">
        <v>0</v>
      </c>
      <c r="I987" t="str">
        <f>VLOOKUP(C987,[1]Sheet!$A:$D,3,FALSE)</f>
        <v>West</v>
      </c>
      <c r="J987" t="str">
        <f>VLOOKUP(C987,[1]Sheet!$A:$D,4,FALSE)</f>
        <v>Home Office</v>
      </c>
      <c r="K987">
        <f t="shared" si="15"/>
        <v>0.11493301393365675</v>
      </c>
    </row>
    <row r="988" spans="1:11" x14ac:dyDescent="0.25">
      <c r="A988" t="s">
        <v>1441</v>
      </c>
      <c r="B988" t="s">
        <v>1442</v>
      </c>
      <c r="C988" t="s">
        <v>110</v>
      </c>
      <c r="D988" t="s">
        <v>11</v>
      </c>
      <c r="E988">
        <v>2197.7399999999998</v>
      </c>
      <c r="F988">
        <v>7</v>
      </c>
      <c r="G988">
        <v>685.21</v>
      </c>
      <c r="H988">
        <v>0.2</v>
      </c>
      <c r="I988" t="str">
        <f>VLOOKUP(C988,[1]Sheet!$A:$D,3,FALSE)</f>
        <v>West</v>
      </c>
      <c r="J988" t="str">
        <f>VLOOKUP(C988,[1]Sheet!$A:$D,4,FALSE)</f>
        <v>Consumer</v>
      </c>
      <c r="K988">
        <f t="shared" si="15"/>
        <v>0.31177937335626604</v>
      </c>
    </row>
    <row r="989" spans="1:11" x14ac:dyDescent="0.25">
      <c r="A989" t="s">
        <v>1443</v>
      </c>
      <c r="B989" t="s">
        <v>84</v>
      </c>
      <c r="C989" t="s">
        <v>218</v>
      </c>
      <c r="D989" t="s">
        <v>22</v>
      </c>
      <c r="E989">
        <v>4469.93</v>
      </c>
      <c r="F989">
        <v>1</v>
      </c>
      <c r="G989">
        <v>1017.05</v>
      </c>
      <c r="H989">
        <v>0.15</v>
      </c>
      <c r="I989" t="str">
        <f>VLOOKUP(C989,[1]Sheet!$A:$D,3,FALSE)</f>
        <v>South</v>
      </c>
      <c r="J989" t="str">
        <f>VLOOKUP(C989,[1]Sheet!$A:$D,4,FALSE)</f>
        <v>Corporate</v>
      </c>
      <c r="K989">
        <f t="shared" si="15"/>
        <v>0.22753152733935428</v>
      </c>
    </row>
    <row r="990" spans="1:11" x14ac:dyDescent="0.25">
      <c r="A990" t="s">
        <v>1444</v>
      </c>
      <c r="B990" t="s">
        <v>566</v>
      </c>
      <c r="C990" t="s">
        <v>54</v>
      </c>
      <c r="D990" t="s">
        <v>15</v>
      </c>
      <c r="E990">
        <v>296.29000000000002</v>
      </c>
      <c r="F990">
        <v>7</v>
      </c>
      <c r="G990">
        <v>56.65</v>
      </c>
      <c r="H990">
        <v>0.2</v>
      </c>
      <c r="I990" t="str">
        <f>VLOOKUP(C990,[1]Sheet!$A:$D,3,FALSE)</f>
        <v>West</v>
      </c>
      <c r="J990" t="str">
        <f>VLOOKUP(C990,[1]Sheet!$A:$D,4,FALSE)</f>
        <v>Consumer</v>
      </c>
      <c r="K990">
        <f t="shared" si="15"/>
        <v>0.19119781295352525</v>
      </c>
    </row>
    <row r="991" spans="1:11" x14ac:dyDescent="0.25">
      <c r="A991" t="s">
        <v>1445</v>
      </c>
      <c r="B991" t="s">
        <v>30</v>
      </c>
      <c r="C991" t="s">
        <v>432</v>
      </c>
      <c r="D991" t="s">
        <v>11</v>
      </c>
      <c r="E991">
        <v>2448.42</v>
      </c>
      <c r="F991">
        <v>8</v>
      </c>
      <c r="G991">
        <v>708.59</v>
      </c>
      <c r="H991">
        <v>0.05</v>
      </c>
      <c r="I991" t="str">
        <f>VLOOKUP(C991,[1]Sheet!$A:$D,3,FALSE)</f>
        <v>East</v>
      </c>
      <c r="J991" t="str">
        <f>VLOOKUP(C991,[1]Sheet!$A:$D,4,FALSE)</f>
        <v>Consumer</v>
      </c>
      <c r="K991">
        <f t="shared" si="15"/>
        <v>0.28940704617671803</v>
      </c>
    </row>
    <row r="992" spans="1:11" x14ac:dyDescent="0.25">
      <c r="A992" t="s">
        <v>1446</v>
      </c>
      <c r="B992" t="s">
        <v>17</v>
      </c>
      <c r="C992" t="s">
        <v>320</v>
      </c>
      <c r="D992" t="s">
        <v>15</v>
      </c>
      <c r="E992">
        <v>2836.59</v>
      </c>
      <c r="F992">
        <v>3</v>
      </c>
      <c r="G992">
        <v>152.4</v>
      </c>
      <c r="H992">
        <v>0.1</v>
      </c>
      <c r="I992" t="str">
        <f>VLOOKUP(C992,[1]Sheet!$A:$D,3,FALSE)</f>
        <v>West</v>
      </c>
      <c r="J992" t="str">
        <f>VLOOKUP(C992,[1]Sheet!$A:$D,4,FALSE)</f>
        <v>Consumer</v>
      </c>
      <c r="K992">
        <f t="shared" si="15"/>
        <v>5.372648144426935E-2</v>
      </c>
    </row>
    <row r="993" spans="1:11" x14ac:dyDescent="0.25">
      <c r="A993" t="s">
        <v>1447</v>
      </c>
      <c r="B993" t="s">
        <v>500</v>
      </c>
      <c r="C993" t="s">
        <v>495</v>
      </c>
      <c r="D993" t="s">
        <v>11</v>
      </c>
      <c r="E993">
        <v>1271.4100000000001</v>
      </c>
      <c r="F993">
        <v>5</v>
      </c>
      <c r="G993">
        <v>444.59</v>
      </c>
      <c r="H993">
        <v>0.05</v>
      </c>
      <c r="I993" t="str">
        <f>VLOOKUP(C993,[1]Sheet!$A:$D,3,FALSE)</f>
        <v>South</v>
      </c>
      <c r="J993" t="str">
        <f>VLOOKUP(C993,[1]Sheet!$A:$D,4,FALSE)</f>
        <v>Home Office</v>
      </c>
      <c r="K993">
        <f t="shared" si="15"/>
        <v>0.34968263581378151</v>
      </c>
    </row>
    <row r="994" spans="1:11" x14ac:dyDescent="0.25">
      <c r="A994" t="s">
        <v>1448</v>
      </c>
      <c r="B994" t="s">
        <v>53</v>
      </c>
      <c r="C994" t="s">
        <v>157</v>
      </c>
      <c r="D994" t="s">
        <v>15</v>
      </c>
      <c r="E994">
        <v>2350.4899999999998</v>
      </c>
      <c r="F994">
        <v>8</v>
      </c>
      <c r="G994">
        <v>519.73</v>
      </c>
      <c r="H994">
        <v>0.15</v>
      </c>
      <c r="I994" t="str">
        <f>VLOOKUP(C994,[1]Sheet!$A:$D,3,FALSE)</f>
        <v>South</v>
      </c>
      <c r="J994" t="str">
        <f>VLOOKUP(C994,[1]Sheet!$A:$D,4,FALSE)</f>
        <v>Home Office</v>
      </c>
      <c r="K994">
        <f t="shared" si="15"/>
        <v>0.22111559717335538</v>
      </c>
    </row>
    <row r="995" spans="1:11" x14ac:dyDescent="0.25">
      <c r="A995" t="s">
        <v>1449</v>
      </c>
      <c r="B995" t="s">
        <v>1202</v>
      </c>
      <c r="C995" t="s">
        <v>466</v>
      </c>
      <c r="D995" t="s">
        <v>11</v>
      </c>
      <c r="E995">
        <v>779.26</v>
      </c>
      <c r="F995">
        <v>8</v>
      </c>
      <c r="G995">
        <v>203.34</v>
      </c>
      <c r="H995">
        <v>0</v>
      </c>
      <c r="I995" t="str">
        <f>VLOOKUP(C995,[1]Sheet!$A:$D,3,FALSE)</f>
        <v>South</v>
      </c>
      <c r="J995" t="str">
        <f>VLOOKUP(C995,[1]Sheet!$A:$D,4,FALSE)</f>
        <v>Consumer</v>
      </c>
      <c r="K995">
        <f t="shared" si="15"/>
        <v>0.26093986602674335</v>
      </c>
    </row>
    <row r="996" spans="1:11" x14ac:dyDescent="0.25">
      <c r="A996" t="s">
        <v>1450</v>
      </c>
      <c r="B996" t="s">
        <v>293</v>
      </c>
      <c r="C996" t="s">
        <v>10</v>
      </c>
      <c r="D996" t="s">
        <v>22</v>
      </c>
      <c r="E996">
        <v>446.42</v>
      </c>
      <c r="F996">
        <v>1</v>
      </c>
      <c r="G996">
        <v>141.97999999999999</v>
      </c>
      <c r="H996">
        <v>0.1</v>
      </c>
      <c r="I996" t="str">
        <f>VLOOKUP(C996,[1]Sheet!$A:$D,3,FALSE)</f>
        <v>North</v>
      </c>
      <c r="J996" t="str">
        <f>VLOOKUP(C996,[1]Sheet!$A:$D,4,FALSE)</f>
        <v>Consumer</v>
      </c>
      <c r="K996">
        <f t="shared" si="15"/>
        <v>0.3180413063930827</v>
      </c>
    </row>
    <row r="997" spans="1:11" x14ac:dyDescent="0.25">
      <c r="A997" t="s">
        <v>1451</v>
      </c>
      <c r="B997" t="s">
        <v>578</v>
      </c>
      <c r="C997" t="s">
        <v>390</v>
      </c>
      <c r="D997" t="s">
        <v>22</v>
      </c>
      <c r="E997">
        <v>3789.15</v>
      </c>
      <c r="F997">
        <v>10</v>
      </c>
      <c r="G997">
        <v>982.97</v>
      </c>
      <c r="H997">
        <v>0.05</v>
      </c>
      <c r="I997" t="str">
        <f>VLOOKUP(C997,[1]Sheet!$A:$D,3,FALSE)</f>
        <v>West</v>
      </c>
      <c r="J997" t="str">
        <f>VLOOKUP(C997,[1]Sheet!$A:$D,4,FALSE)</f>
        <v>Corporate</v>
      </c>
      <c r="K997">
        <f t="shared" si="15"/>
        <v>0.25941701964820607</v>
      </c>
    </row>
    <row r="998" spans="1:11" x14ac:dyDescent="0.25">
      <c r="A998" t="s">
        <v>1452</v>
      </c>
      <c r="B998" t="s">
        <v>545</v>
      </c>
      <c r="C998" t="s">
        <v>76</v>
      </c>
      <c r="D998" t="s">
        <v>22</v>
      </c>
      <c r="E998">
        <v>496.7</v>
      </c>
      <c r="F998">
        <v>6</v>
      </c>
      <c r="G998">
        <v>156.09</v>
      </c>
      <c r="H998">
        <v>0</v>
      </c>
      <c r="I998" t="str">
        <f>VLOOKUP(C998,[1]Sheet!$A:$D,3,FALSE)</f>
        <v>West</v>
      </c>
      <c r="J998" t="str">
        <f>VLOOKUP(C998,[1]Sheet!$A:$D,4,FALSE)</f>
        <v>Home Office</v>
      </c>
      <c r="K998">
        <f t="shared" si="15"/>
        <v>0.31425407690759011</v>
      </c>
    </row>
    <row r="999" spans="1:11" x14ac:dyDescent="0.25">
      <c r="A999" t="s">
        <v>1453</v>
      </c>
      <c r="B999" t="s">
        <v>269</v>
      </c>
      <c r="C999" t="s">
        <v>412</v>
      </c>
      <c r="D999" t="s">
        <v>11</v>
      </c>
      <c r="E999">
        <v>1976.48</v>
      </c>
      <c r="F999">
        <v>6</v>
      </c>
      <c r="G999">
        <v>374.75</v>
      </c>
      <c r="H999">
        <v>0.05</v>
      </c>
      <c r="I999" t="str">
        <f>VLOOKUP(C999,[1]Sheet!$A:$D,3,FALSE)</f>
        <v>West</v>
      </c>
      <c r="J999" t="str">
        <f>VLOOKUP(C999,[1]Sheet!$A:$D,4,FALSE)</f>
        <v>Corporate</v>
      </c>
      <c r="K999">
        <f t="shared" si="15"/>
        <v>0.18960475188213388</v>
      </c>
    </row>
    <row r="1000" spans="1:11" x14ac:dyDescent="0.25">
      <c r="A1000" t="s">
        <v>1454</v>
      </c>
      <c r="B1000" t="s">
        <v>547</v>
      </c>
      <c r="C1000" t="s">
        <v>286</v>
      </c>
      <c r="D1000" t="s">
        <v>15</v>
      </c>
      <c r="E1000">
        <v>2838.07</v>
      </c>
      <c r="F1000">
        <v>3</v>
      </c>
      <c r="G1000">
        <v>198.95</v>
      </c>
      <c r="H1000">
        <v>0.1</v>
      </c>
      <c r="I1000" t="str">
        <f>VLOOKUP(C1000,[1]Sheet!$A:$D,3,FALSE)</f>
        <v>South</v>
      </c>
      <c r="J1000" t="str">
        <f>VLOOKUP(C1000,[1]Sheet!$A:$D,4,FALSE)</f>
        <v>Consumer</v>
      </c>
      <c r="K1000">
        <f t="shared" si="15"/>
        <v>7.010045559129971E-2</v>
      </c>
    </row>
    <row r="1001" spans="1:11" x14ac:dyDescent="0.25">
      <c r="A1001" t="s">
        <v>1455</v>
      </c>
      <c r="B1001" t="s">
        <v>502</v>
      </c>
      <c r="C1001" t="s">
        <v>14</v>
      </c>
      <c r="D1001" t="s">
        <v>22</v>
      </c>
      <c r="E1001">
        <v>2744.21</v>
      </c>
      <c r="F1001">
        <v>4</v>
      </c>
      <c r="G1001">
        <v>671.54</v>
      </c>
      <c r="H1001">
        <v>0.05</v>
      </c>
      <c r="I1001" t="str">
        <f>VLOOKUP(C1001,[1]Sheet!$A:$D,3,FALSE)</f>
        <v>North</v>
      </c>
      <c r="J1001" t="str">
        <f>VLOOKUP(C1001,[1]Sheet!$A:$D,4,FALSE)</f>
        <v>Corporate</v>
      </c>
      <c r="K1001">
        <f t="shared" si="15"/>
        <v>0.24471159277169019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0554-AC6C-47A9-BF34-0204D66AF4CD}">
  <dimension ref="A3:F8"/>
  <sheetViews>
    <sheetView workbookViewId="0">
      <selection activeCell="E12" sqref="E12"/>
    </sheetView>
  </sheetViews>
  <sheetFormatPr defaultRowHeight="15" x14ac:dyDescent="0.25"/>
  <cols>
    <col min="1" max="1" width="14.5703125" bestFit="1" customWidth="1"/>
    <col min="2" max="2" width="16.28515625" bestFit="1" customWidth="1"/>
    <col min="3" max="4" width="10" bestFit="1" customWidth="1"/>
    <col min="5" max="5" width="9" bestFit="1" customWidth="1"/>
    <col min="6" max="6" width="11.28515625" bestFit="1" customWidth="1"/>
  </cols>
  <sheetData>
    <row r="3" spans="1:6" x14ac:dyDescent="0.25">
      <c r="A3" s="2" t="s">
        <v>1459</v>
      </c>
      <c r="B3" s="2" t="s">
        <v>1467</v>
      </c>
    </row>
    <row r="4" spans="1:6" x14ac:dyDescent="0.25">
      <c r="A4" s="2" t="s">
        <v>1457</v>
      </c>
      <c r="B4" t="s">
        <v>1463</v>
      </c>
      <c r="C4" t="s">
        <v>1464</v>
      </c>
      <c r="D4" t="s">
        <v>1465</v>
      </c>
      <c r="E4" t="s">
        <v>1466</v>
      </c>
      <c r="F4" t="s">
        <v>1458</v>
      </c>
    </row>
    <row r="5" spans="1:6" x14ac:dyDescent="0.25">
      <c r="A5" s="3" t="s">
        <v>11</v>
      </c>
      <c r="B5" s="1">
        <v>56763.750000000022</v>
      </c>
      <c r="C5" s="1">
        <v>42875.909999999989</v>
      </c>
      <c r="D5" s="1">
        <v>52594.910000000011</v>
      </c>
      <c r="E5" s="1">
        <v>36622.709999999992</v>
      </c>
      <c r="F5" s="1">
        <v>188857.28</v>
      </c>
    </row>
    <row r="6" spans="1:6" x14ac:dyDescent="0.25">
      <c r="A6" s="3" t="s">
        <v>22</v>
      </c>
      <c r="B6" s="1">
        <v>32488.719999999998</v>
      </c>
      <c r="C6" s="1">
        <v>37640.130000000005</v>
      </c>
      <c r="D6" s="1">
        <v>45700.68</v>
      </c>
      <c r="E6" s="1">
        <v>35182.589999999982</v>
      </c>
      <c r="F6" s="1">
        <v>151012.12</v>
      </c>
    </row>
    <row r="7" spans="1:6" x14ac:dyDescent="0.25">
      <c r="A7" s="3" t="s">
        <v>15</v>
      </c>
      <c r="B7" s="1">
        <v>35347.390000000014</v>
      </c>
      <c r="C7" s="1">
        <v>35835.330000000009</v>
      </c>
      <c r="D7" s="1">
        <v>55386.2</v>
      </c>
      <c r="E7" s="1">
        <v>25889.200000000012</v>
      </c>
      <c r="F7" s="1">
        <v>152458.12000000005</v>
      </c>
    </row>
    <row r="8" spans="1:6" x14ac:dyDescent="0.25">
      <c r="A8" s="3" t="s">
        <v>1458</v>
      </c>
      <c r="B8" s="1">
        <v>124599.86000000003</v>
      </c>
      <c r="C8" s="1">
        <v>116351.37</v>
      </c>
      <c r="D8" s="1">
        <v>153681.79</v>
      </c>
      <c r="E8" s="1">
        <v>97694.499999999985</v>
      </c>
      <c r="F8" s="1">
        <v>492327.52000000008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1391-F533-4448-9523-3F43BFAEBB6C}">
  <dimension ref="L1:N1"/>
  <sheetViews>
    <sheetView zoomScale="70" zoomScaleNormal="70" workbookViewId="0">
      <selection activeCell="Y25" sqref="Y25"/>
    </sheetView>
  </sheetViews>
  <sheetFormatPr defaultRowHeight="15" x14ac:dyDescent="0.25"/>
  <cols>
    <col min="11" max="11" width="0.28515625" customWidth="1"/>
    <col min="12" max="13" width="9.140625" hidden="1" customWidth="1"/>
    <col min="16" max="16" width="15.7109375" customWidth="1"/>
  </cols>
  <sheetData>
    <row r="1" spans="14:14" ht="26.25" x14ac:dyDescent="0.4">
      <c r="N1" s="4" t="s">
        <v>1460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Profit by Category</vt:lpstr>
      <vt:lpstr>Sheet4</vt:lpstr>
      <vt:lpstr>Monthly Sales Trend </vt:lpstr>
      <vt:lpstr>TOP Customer </vt:lpstr>
      <vt:lpstr>Sales By Region</vt:lpstr>
      <vt:lpstr>Sheet</vt:lpstr>
      <vt:lpstr>Profit By Region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Gaur</cp:lastModifiedBy>
  <dcterms:created xsi:type="dcterms:W3CDTF">2026-07-06T03:06:37Z</dcterms:created>
  <dcterms:modified xsi:type="dcterms:W3CDTF">2026-07-09T04:54:17Z</dcterms:modified>
</cp:coreProperties>
</file>